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ng.Nguyen02\Desktop\Báo cáo\"/>
    </mc:Choice>
  </mc:AlternateContent>
  <bookViews>
    <workbookView xWindow="0" yWindow="0" windowWidth="23040" windowHeight="10332"/>
  </bookViews>
  <sheets>
    <sheet name="Daily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L6" i="1"/>
  <c r="K6" i="1"/>
  <c r="J1" i="1"/>
  <c r="V18" i="1"/>
  <c r="U18" i="1"/>
  <c r="T18" i="1"/>
  <c r="S18" i="1"/>
  <c r="R18" i="1"/>
  <c r="Q18" i="1"/>
  <c r="P18" i="1"/>
  <c r="O18" i="1"/>
  <c r="N18" i="1"/>
  <c r="I18" i="1"/>
  <c r="H18" i="1"/>
  <c r="G18" i="1"/>
  <c r="M11" i="1"/>
  <c r="M12" i="1"/>
  <c r="M18" i="1" s="1"/>
  <c r="J2" i="1" s="1"/>
  <c r="K5" i="1" s="1"/>
  <c r="M13" i="1"/>
  <c r="M14" i="1"/>
  <c r="M15" i="1"/>
  <c r="M16" i="1"/>
  <c r="M17" i="1"/>
  <c r="M10" i="1"/>
  <c r="J11" i="1"/>
  <c r="J13" i="1"/>
  <c r="J14" i="1"/>
  <c r="J15" i="1"/>
  <c r="J10" i="1"/>
  <c r="J7" i="1"/>
  <c r="C6" i="1"/>
  <c r="B7" i="1"/>
  <c r="G5" i="1" s="1"/>
  <c r="G7" i="1" s="1"/>
  <c r="L5" i="1" l="1"/>
  <c r="K7" i="1"/>
  <c r="L7" i="1" s="1"/>
</calcChain>
</file>

<file path=xl/sharedStrings.xml><?xml version="1.0" encoding="utf-8"?>
<sst xmlns="http://schemas.openxmlformats.org/spreadsheetml/2006/main" count="69" uniqueCount="66">
  <si>
    <t>Total Headcount:</t>
  </si>
  <si>
    <t>Absentees:</t>
  </si>
  <si>
    <t>Attendance:</t>
  </si>
  <si>
    <t>Total Normal Hours:</t>
  </si>
  <si>
    <t>Total OverTime:</t>
  </si>
  <si>
    <t>Available Time:</t>
  </si>
  <si>
    <t>Date:</t>
  </si>
  <si>
    <t>Department:</t>
  </si>
  <si>
    <t>Assembly</t>
  </si>
  <si>
    <t>Supervisor:</t>
  </si>
  <si>
    <t>Hưng</t>
  </si>
  <si>
    <t>Line</t>
  </si>
  <si>
    <t>Leader</t>
  </si>
  <si>
    <t>M0#</t>
  </si>
  <si>
    <t>Item</t>
  </si>
  <si>
    <t>XA/pc</t>
  </si>
  <si>
    <t>Total XA</t>
  </si>
  <si>
    <t>Productivity:</t>
  </si>
  <si>
    <t>Note</t>
  </si>
  <si>
    <t>C.O time</t>
  </si>
  <si>
    <t>Goods Receipt
Quantity</t>
  </si>
  <si>
    <t>Assembly
Actual Quantity</t>
  </si>
  <si>
    <t>Daily Plan
Quantity</t>
  </si>
  <si>
    <t>Quantity/M0#</t>
  </si>
  <si>
    <t>Line Stoppage
Hours</t>
  </si>
  <si>
    <t>Quality issue 
(loss time)</t>
  </si>
  <si>
    <t>SOP 
(loss time)</t>
  </si>
  <si>
    <t>FAI 
(loss time)</t>
  </si>
  <si>
    <t>FQC 
(loss time)</t>
  </si>
  <si>
    <t>Other 
loss time</t>
  </si>
  <si>
    <t>Producing Time:</t>
  </si>
  <si>
    <t>Total XA:</t>
  </si>
  <si>
    <t>Ratio</t>
  </si>
  <si>
    <t>Total</t>
  </si>
  <si>
    <t>June-29-2026</t>
  </si>
  <si>
    <t>Target</t>
  </si>
  <si>
    <t>Actual</t>
  </si>
  <si>
    <t>Gap</t>
  </si>
  <si>
    <t>Băng</t>
  </si>
  <si>
    <t>Hoa</t>
  </si>
  <si>
    <t>Đào</t>
  </si>
  <si>
    <t>Linh</t>
  </si>
  <si>
    <t>Trung</t>
  </si>
  <si>
    <t>M067150</t>
  </si>
  <si>
    <t>31-334</t>
  </si>
  <si>
    <t>M068880</t>
  </si>
  <si>
    <t>T6421E1-003-ND3G-316U-50</t>
  </si>
  <si>
    <t>M069340</t>
  </si>
  <si>
    <t>M068760</t>
  </si>
  <si>
    <t>M069130</t>
  </si>
  <si>
    <t>M062380</t>
  </si>
  <si>
    <t>4700-51</t>
  </si>
  <si>
    <t>M064270</t>
  </si>
  <si>
    <t>B1121AA-ND3G-8X-50</t>
  </si>
  <si>
    <t>M072630</t>
  </si>
  <si>
    <t>UPH</t>
  </si>
  <si>
    <t>Pending 
(chỉ lấy giá trị dương)</t>
  </si>
  <si>
    <t>thiếu liệu</t>
  </si>
  <si>
    <t>thiếu tray</t>
  </si>
  <si>
    <t>hold hàng</t>
  </si>
  <si>
    <t>Training 
Time</t>
  </si>
  <si>
    <t>=E7 - sum(N18:V18)</t>
  </si>
  <si>
    <t>=M18</t>
  </si>
  <si>
    <r>
      <t xml:space="preserve">Efficiency: </t>
    </r>
    <r>
      <rPr>
        <b/>
        <sz val="11"/>
        <color theme="1"/>
        <rFont val="Calibri"/>
        <family val="2"/>
        <scheme val="minor"/>
      </rPr>
      <t>(J2/J1)</t>
    </r>
  </si>
  <si>
    <r>
      <t xml:space="preserve">Utilization: </t>
    </r>
    <r>
      <rPr>
        <b/>
        <sz val="11"/>
        <color theme="1"/>
        <rFont val="Calibri"/>
        <family val="2"/>
        <scheme val="minor"/>
      </rPr>
      <t>(J1/G7)</t>
    </r>
  </si>
  <si>
    <t>Materials 
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</si>
</sst>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0" fontId="2" fillId="2" borderId="0" xfId="0" quotePrefix="1" applyFont="1" applyFill="1" applyAlignment="1">
      <alignment vertical="center"/>
    </xf>
    <xf numFmtId="0" fontId="0" fillId="0" borderId="2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9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9" fontId="0" fillId="0" borderId="9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9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9" fontId="2" fillId="0" borderId="6" xfId="2" applyFont="1" applyBorder="1" applyAlignment="1">
      <alignment vertical="center"/>
    </xf>
    <xf numFmtId="9" fontId="2" fillId="0" borderId="13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9" fontId="2" fillId="0" borderId="8" xfId="0" applyNumberFormat="1" applyFont="1" applyBorder="1" applyAlignment="1">
      <alignment vertical="center"/>
    </xf>
    <xf numFmtId="9" fontId="2" fillId="0" borderId="13" xfId="2" applyFont="1" applyBorder="1" applyAlignment="1">
      <alignment vertical="center"/>
    </xf>
    <xf numFmtId="9" fontId="2" fillId="0" borderId="1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2" fontId="0" fillId="0" borderId="9" xfId="0" applyNumberFormat="1" applyBorder="1" applyAlignment="1">
      <alignment vertical="center"/>
    </xf>
    <xf numFmtId="2" fontId="2" fillId="0" borderId="1" xfId="0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abSelected="1" zoomScale="85" zoomScaleNormal="85" workbookViewId="0">
      <selection activeCell="O19" sqref="O19"/>
    </sheetView>
  </sheetViews>
  <sheetFormatPr defaultRowHeight="14.4" x14ac:dyDescent="0.3"/>
  <cols>
    <col min="1" max="1" width="15.5546875" style="1" bestFit="1" customWidth="1"/>
    <col min="2" max="2" width="14.33203125" style="1" customWidth="1"/>
    <col min="3" max="3" width="10.109375" style="1" customWidth="1"/>
    <col min="4" max="4" width="25.109375" style="1" bestFit="1" customWidth="1"/>
    <col min="5" max="5" width="17.44140625" style="1" customWidth="1"/>
    <col min="6" max="6" width="19.21875" style="1" bestFit="1" customWidth="1"/>
    <col min="7" max="7" width="13" style="1" customWidth="1"/>
    <col min="8" max="8" width="13.21875" style="1" customWidth="1"/>
    <col min="9" max="9" width="17" style="1" bestFit="1" customWidth="1"/>
    <col min="10" max="10" width="11.33203125" style="1" customWidth="1"/>
    <col min="11" max="11" width="19.5546875" style="1" customWidth="1"/>
    <col min="12" max="12" width="18" style="1" bestFit="1" customWidth="1"/>
    <col min="13" max="13" width="8.88671875" style="1"/>
    <col min="14" max="14" width="9.21875" style="1" customWidth="1"/>
    <col min="15" max="15" width="11.6640625" style="1" customWidth="1"/>
    <col min="16" max="16" width="8.88671875" style="1"/>
    <col min="17" max="17" width="17.44140625" style="1" customWidth="1"/>
    <col min="18" max="18" width="17.33203125" style="1" customWidth="1"/>
    <col min="19" max="16384" width="8.88671875" style="1"/>
  </cols>
  <sheetData>
    <row r="1" spans="1:22" x14ac:dyDescent="0.3">
      <c r="A1" s="31" t="s">
        <v>6</v>
      </c>
      <c r="B1" s="19" t="s">
        <v>34</v>
      </c>
      <c r="I1" s="31" t="s">
        <v>30</v>
      </c>
      <c r="J1" s="19">
        <f>G7-SUM(N18:V18)</f>
        <v>961</v>
      </c>
      <c r="K1" s="12" t="s">
        <v>61</v>
      </c>
    </row>
    <row r="2" spans="1:22" ht="15" thickBot="1" x14ac:dyDescent="0.35">
      <c r="A2" s="33" t="s">
        <v>7</v>
      </c>
      <c r="B2" s="21" t="s">
        <v>8</v>
      </c>
      <c r="I2" s="32" t="s">
        <v>31</v>
      </c>
      <c r="J2" s="42">
        <f>M18</f>
        <v>26.967500000000001</v>
      </c>
      <c r="K2" s="12" t="s">
        <v>62</v>
      </c>
    </row>
    <row r="3" spans="1:22" ht="15" thickBot="1" x14ac:dyDescent="0.35">
      <c r="A3" s="34" t="s">
        <v>9</v>
      </c>
      <c r="B3" s="23" t="s">
        <v>10</v>
      </c>
    </row>
    <row r="4" spans="1:22" ht="15" thickBot="1" x14ac:dyDescent="0.35">
      <c r="A4" s="13"/>
      <c r="B4" s="24"/>
      <c r="C4" s="14" t="s">
        <v>32</v>
      </c>
      <c r="I4" s="28"/>
      <c r="J4" s="29" t="s">
        <v>35</v>
      </c>
      <c r="K4" s="29" t="s">
        <v>36</v>
      </c>
      <c r="L4" s="30" t="s">
        <v>37</v>
      </c>
    </row>
    <row r="5" spans="1:22" x14ac:dyDescent="0.3">
      <c r="A5" s="33" t="s">
        <v>0</v>
      </c>
      <c r="B5" s="4">
        <v>112</v>
      </c>
      <c r="C5" s="21"/>
      <c r="F5" s="31" t="s">
        <v>3</v>
      </c>
      <c r="G5" s="19">
        <f>B7*8</f>
        <v>848</v>
      </c>
      <c r="I5" s="26" t="s">
        <v>63</v>
      </c>
      <c r="J5" s="36">
        <v>0.78</v>
      </c>
      <c r="K5" s="39">
        <f>J2/J1</f>
        <v>2.8061914672216443E-2</v>
      </c>
      <c r="L5" s="27">
        <f>K5-J5</f>
        <v>-0.75193808532778361</v>
      </c>
    </row>
    <row r="6" spans="1:22" x14ac:dyDescent="0.3">
      <c r="A6" s="33" t="s">
        <v>1</v>
      </c>
      <c r="B6" s="4">
        <v>6</v>
      </c>
      <c r="C6" s="35">
        <f>B6/B5</f>
        <v>5.3571428571428568E-2</v>
      </c>
      <c r="F6" s="33" t="s">
        <v>4</v>
      </c>
      <c r="G6" s="21">
        <v>129</v>
      </c>
      <c r="I6" s="15" t="s">
        <v>64</v>
      </c>
      <c r="J6" s="37">
        <v>0.9</v>
      </c>
      <c r="K6" s="40">
        <f>J1/G7</f>
        <v>0.98362333674513813</v>
      </c>
      <c r="L6" s="16">
        <f t="shared" ref="L6:L7" si="0">K6-J6</f>
        <v>8.362333674513811E-2</v>
      </c>
    </row>
    <row r="7" spans="1:22" ht="15" thickBot="1" x14ac:dyDescent="0.35">
      <c r="A7" s="32" t="s">
        <v>2</v>
      </c>
      <c r="B7" s="25">
        <f>B5-B6</f>
        <v>106</v>
      </c>
      <c r="C7" s="20"/>
      <c r="F7" s="32" t="s">
        <v>5</v>
      </c>
      <c r="G7" s="22">
        <f>G6+G5</f>
        <v>977</v>
      </c>
      <c r="I7" s="17" t="s">
        <v>17</v>
      </c>
      <c r="J7" s="38">
        <f>J6*J5</f>
        <v>0.70200000000000007</v>
      </c>
      <c r="K7" s="41">
        <f>K6*K5</f>
        <v>2.7602354145342886E-2</v>
      </c>
      <c r="L7" s="18">
        <f t="shared" si="0"/>
        <v>-0.67439764585465722</v>
      </c>
    </row>
    <row r="9" spans="1:22" s="2" customFormat="1" ht="46.2" customHeight="1" x14ac:dyDescent="0.3">
      <c r="A9" s="5" t="s">
        <v>11</v>
      </c>
      <c r="B9" s="5" t="s">
        <v>12</v>
      </c>
      <c r="C9" s="5" t="s">
        <v>13</v>
      </c>
      <c r="D9" s="5" t="s">
        <v>14</v>
      </c>
      <c r="E9" s="5" t="s">
        <v>23</v>
      </c>
      <c r="F9" s="5" t="s">
        <v>55</v>
      </c>
      <c r="G9" s="6" t="s">
        <v>22</v>
      </c>
      <c r="H9" s="6" t="s">
        <v>21</v>
      </c>
      <c r="I9" s="6" t="s">
        <v>20</v>
      </c>
      <c r="J9" s="6" t="s">
        <v>56</v>
      </c>
      <c r="K9" s="5" t="s">
        <v>18</v>
      </c>
      <c r="L9" s="6" t="s">
        <v>15</v>
      </c>
      <c r="M9" s="5" t="s">
        <v>16</v>
      </c>
      <c r="N9" s="6" t="s">
        <v>60</v>
      </c>
      <c r="O9" s="6" t="s">
        <v>24</v>
      </c>
      <c r="P9" s="5" t="s">
        <v>19</v>
      </c>
      <c r="Q9" s="6" t="s">
        <v>65</v>
      </c>
      <c r="R9" s="6" t="s">
        <v>25</v>
      </c>
      <c r="S9" s="6" t="s">
        <v>26</v>
      </c>
      <c r="T9" s="6" t="s">
        <v>27</v>
      </c>
      <c r="U9" s="6" t="s">
        <v>28</v>
      </c>
      <c r="V9" s="6" t="s">
        <v>29</v>
      </c>
    </row>
    <row r="10" spans="1:22" x14ac:dyDescent="0.3">
      <c r="A10" s="3">
        <v>1</v>
      </c>
      <c r="B10" s="3" t="s">
        <v>38</v>
      </c>
      <c r="C10" s="4" t="s">
        <v>43</v>
      </c>
      <c r="D10" s="8" t="s">
        <v>44</v>
      </c>
      <c r="E10" s="4">
        <v>2500</v>
      </c>
      <c r="F10" s="4">
        <v>200</v>
      </c>
      <c r="G10" s="4">
        <v>500</v>
      </c>
      <c r="H10" s="4">
        <v>500</v>
      </c>
      <c r="I10" s="9">
        <v>0</v>
      </c>
      <c r="J10" s="10">
        <f>H10-I10</f>
        <v>500</v>
      </c>
      <c r="K10" s="4" t="s">
        <v>57</v>
      </c>
      <c r="L10" s="4">
        <v>3.526E-2</v>
      </c>
      <c r="M10" s="11">
        <f>J10*L10</f>
        <v>17.63</v>
      </c>
      <c r="N10" s="4">
        <v>3</v>
      </c>
      <c r="O10" s="4"/>
      <c r="P10" s="4"/>
      <c r="Q10" s="4"/>
      <c r="R10" s="4"/>
      <c r="S10" s="4"/>
      <c r="T10" s="4"/>
      <c r="U10" s="4"/>
      <c r="V10" s="4"/>
    </row>
    <row r="11" spans="1:22" x14ac:dyDescent="0.3">
      <c r="A11" s="3">
        <v>2</v>
      </c>
      <c r="B11" s="3" t="s">
        <v>39</v>
      </c>
      <c r="C11" s="4" t="s">
        <v>45</v>
      </c>
      <c r="D11" s="8" t="s">
        <v>46</v>
      </c>
      <c r="E11" s="4">
        <v>1000</v>
      </c>
      <c r="F11" s="4">
        <v>400</v>
      </c>
      <c r="G11" s="4">
        <v>500</v>
      </c>
      <c r="H11" s="4">
        <v>500</v>
      </c>
      <c r="I11" s="9">
        <v>0</v>
      </c>
      <c r="J11" s="10">
        <f t="shared" ref="J11:J17" si="1">H11-I11</f>
        <v>500</v>
      </c>
      <c r="K11" s="4" t="s">
        <v>58</v>
      </c>
      <c r="L11" s="4">
        <v>1.0200000000000001E-2</v>
      </c>
      <c r="M11" s="11">
        <f t="shared" ref="M11:M17" si="2">J11*L11</f>
        <v>5.1000000000000005</v>
      </c>
      <c r="N11" s="4"/>
      <c r="O11" s="4">
        <v>0.5</v>
      </c>
      <c r="P11" s="4"/>
      <c r="Q11" s="4"/>
      <c r="R11" s="4"/>
      <c r="S11" s="4"/>
      <c r="T11" s="4"/>
      <c r="U11" s="4"/>
      <c r="V11" s="4"/>
    </row>
    <row r="12" spans="1:22" x14ac:dyDescent="0.3">
      <c r="A12" s="3">
        <v>3</v>
      </c>
      <c r="B12" s="3" t="s">
        <v>40</v>
      </c>
      <c r="C12" s="4" t="s">
        <v>47</v>
      </c>
      <c r="D12" s="8">
        <v>28000</v>
      </c>
      <c r="E12" s="4">
        <v>2000</v>
      </c>
      <c r="F12" s="4">
        <v>360</v>
      </c>
      <c r="G12" s="4">
        <v>1000</v>
      </c>
      <c r="H12" s="4">
        <v>1000</v>
      </c>
      <c r="I12" s="9">
        <v>1600</v>
      </c>
      <c r="J12" s="10"/>
      <c r="K12" s="4"/>
      <c r="L12" s="4">
        <v>1.695E-2</v>
      </c>
      <c r="M12" s="11">
        <f t="shared" si="2"/>
        <v>0</v>
      </c>
      <c r="N12" s="4"/>
      <c r="O12" s="4"/>
      <c r="P12" s="4">
        <v>1.5</v>
      </c>
      <c r="Q12" s="4"/>
      <c r="R12" s="4"/>
      <c r="S12" s="4"/>
      <c r="T12" s="4"/>
      <c r="U12" s="4"/>
      <c r="V12" s="4"/>
    </row>
    <row r="13" spans="1:22" x14ac:dyDescent="0.3">
      <c r="A13" s="3">
        <v>4</v>
      </c>
      <c r="B13" s="3" t="s">
        <v>41</v>
      </c>
      <c r="C13" s="4" t="s">
        <v>48</v>
      </c>
      <c r="D13" s="8">
        <v>28000</v>
      </c>
      <c r="E13" s="4">
        <v>50</v>
      </c>
      <c r="F13" s="4">
        <v>360</v>
      </c>
      <c r="G13" s="4">
        <v>50</v>
      </c>
      <c r="H13" s="4">
        <v>50</v>
      </c>
      <c r="I13" s="9">
        <v>50</v>
      </c>
      <c r="J13" s="10">
        <f t="shared" si="1"/>
        <v>0</v>
      </c>
      <c r="K13" s="4"/>
      <c r="L13" s="4">
        <v>1.695E-2</v>
      </c>
      <c r="M13" s="11">
        <f t="shared" si="2"/>
        <v>0</v>
      </c>
      <c r="N13" s="4"/>
      <c r="O13" s="4"/>
      <c r="P13" s="4"/>
      <c r="Q13" s="4">
        <v>2</v>
      </c>
      <c r="R13" s="4"/>
      <c r="S13" s="4"/>
      <c r="T13" s="4"/>
      <c r="U13" s="4"/>
      <c r="V13" s="4"/>
    </row>
    <row r="14" spans="1:22" x14ac:dyDescent="0.3">
      <c r="A14" s="3">
        <v>5</v>
      </c>
      <c r="B14" s="3" t="s">
        <v>42</v>
      </c>
      <c r="C14" s="4" t="s">
        <v>49</v>
      </c>
      <c r="D14" s="8">
        <v>28000</v>
      </c>
      <c r="E14" s="4">
        <v>250</v>
      </c>
      <c r="F14" s="4">
        <v>360</v>
      </c>
      <c r="G14" s="4">
        <v>250</v>
      </c>
      <c r="H14" s="4">
        <v>250</v>
      </c>
      <c r="I14" s="9">
        <v>0</v>
      </c>
      <c r="J14" s="10">
        <f t="shared" si="1"/>
        <v>250</v>
      </c>
      <c r="K14" s="4" t="s">
        <v>59</v>
      </c>
      <c r="L14" s="4">
        <v>1.695E-2</v>
      </c>
      <c r="M14" s="11">
        <f t="shared" si="2"/>
        <v>4.2374999999999998</v>
      </c>
      <c r="N14" s="4"/>
      <c r="O14" s="4"/>
      <c r="P14" s="4"/>
      <c r="Q14" s="4"/>
      <c r="R14" s="4">
        <v>3</v>
      </c>
      <c r="S14" s="4"/>
      <c r="T14" s="4"/>
      <c r="U14" s="4"/>
      <c r="V14" s="4"/>
    </row>
    <row r="15" spans="1:22" x14ac:dyDescent="0.3">
      <c r="A15" s="3">
        <v>6</v>
      </c>
      <c r="B15" s="3" t="s">
        <v>38</v>
      </c>
      <c r="C15" s="4" t="s">
        <v>50</v>
      </c>
      <c r="D15" s="8" t="s">
        <v>51</v>
      </c>
      <c r="E15" s="4">
        <v>200</v>
      </c>
      <c r="F15" s="4">
        <v>430</v>
      </c>
      <c r="G15" s="4">
        <v>200</v>
      </c>
      <c r="H15" s="4">
        <v>200</v>
      </c>
      <c r="I15" s="9">
        <v>200</v>
      </c>
      <c r="J15" s="10">
        <f t="shared" si="1"/>
        <v>0</v>
      </c>
      <c r="K15" s="4"/>
      <c r="L15" s="4">
        <v>3.5889999999999998E-2</v>
      </c>
      <c r="M15" s="11">
        <f t="shared" si="2"/>
        <v>0</v>
      </c>
      <c r="N15" s="4"/>
      <c r="O15" s="4"/>
      <c r="P15" s="4"/>
      <c r="Q15" s="4"/>
      <c r="R15" s="4"/>
      <c r="S15" s="4">
        <v>2</v>
      </c>
      <c r="T15" s="4"/>
      <c r="U15" s="4"/>
      <c r="V15" s="4"/>
    </row>
    <row r="16" spans="1:22" x14ac:dyDescent="0.3">
      <c r="A16" s="3">
        <v>7</v>
      </c>
      <c r="B16" s="3" t="s">
        <v>39</v>
      </c>
      <c r="C16" s="4" t="s">
        <v>52</v>
      </c>
      <c r="D16" s="8" t="s">
        <v>53</v>
      </c>
      <c r="E16" s="4">
        <v>10000</v>
      </c>
      <c r="F16" s="4">
        <v>500</v>
      </c>
      <c r="G16" s="4">
        <v>5000</v>
      </c>
      <c r="H16" s="4">
        <v>7000</v>
      </c>
      <c r="I16" s="9">
        <v>7700</v>
      </c>
      <c r="J16" s="10"/>
      <c r="K16" s="4"/>
      <c r="L16" s="4">
        <v>1.391E-2</v>
      </c>
      <c r="M16" s="11">
        <f t="shared" si="2"/>
        <v>0</v>
      </c>
      <c r="N16" s="4"/>
      <c r="O16" s="4"/>
      <c r="P16" s="4"/>
      <c r="Q16" s="4"/>
      <c r="R16" s="4"/>
      <c r="S16" s="4"/>
      <c r="T16" s="4">
        <v>1</v>
      </c>
      <c r="U16" s="4"/>
      <c r="V16" s="4"/>
    </row>
    <row r="17" spans="1:22" x14ac:dyDescent="0.3">
      <c r="A17" s="3">
        <v>8</v>
      </c>
      <c r="B17" s="3" t="s">
        <v>40</v>
      </c>
      <c r="C17" s="4" t="s">
        <v>54</v>
      </c>
      <c r="D17" s="8">
        <v>79100</v>
      </c>
      <c r="E17" s="4">
        <v>1000</v>
      </c>
      <c r="F17" s="4">
        <v>310</v>
      </c>
      <c r="G17" s="4">
        <v>310</v>
      </c>
      <c r="H17" s="4">
        <v>296</v>
      </c>
      <c r="I17" s="9">
        <v>994</v>
      </c>
      <c r="J17" s="10"/>
      <c r="K17" s="4"/>
      <c r="L17" s="4">
        <v>3.6360000000000003E-2</v>
      </c>
      <c r="M17" s="11">
        <f t="shared" si="2"/>
        <v>0</v>
      </c>
      <c r="N17" s="4"/>
      <c r="O17" s="4"/>
      <c r="P17" s="4"/>
      <c r="Q17" s="4"/>
      <c r="R17" s="4"/>
      <c r="S17" s="4"/>
      <c r="T17" s="4"/>
      <c r="U17" s="4">
        <v>1</v>
      </c>
      <c r="V17" s="4">
        <v>2</v>
      </c>
    </row>
    <row r="18" spans="1:22" ht="26.4" customHeight="1" x14ac:dyDescent="0.3">
      <c r="A18" s="5" t="s">
        <v>33</v>
      </c>
      <c r="B18" s="7"/>
      <c r="C18" s="7"/>
      <c r="D18" s="7"/>
      <c r="E18" s="7"/>
      <c r="F18" s="7"/>
      <c r="G18" s="7">
        <f>SUM(G10:G17)</f>
        <v>7810</v>
      </c>
      <c r="H18" s="7">
        <f>SUM(H10:H17)</f>
        <v>9796</v>
      </c>
      <c r="I18" s="7">
        <f>SUM(I10:I17)</f>
        <v>10544</v>
      </c>
      <c r="J18" s="7">
        <f>SUM(J10:J17)</f>
        <v>1250</v>
      </c>
      <c r="K18" s="7"/>
      <c r="L18" s="7"/>
      <c r="M18" s="43">
        <f>SUM(M10:M17)</f>
        <v>26.967500000000001</v>
      </c>
      <c r="N18" s="7">
        <f>SUM(N10:N17)</f>
        <v>3</v>
      </c>
      <c r="O18" s="7">
        <f>SUM(O10:O17)</f>
        <v>0.5</v>
      </c>
      <c r="P18" s="7">
        <f>SUM(P10:P17)</f>
        <v>1.5</v>
      </c>
      <c r="Q18" s="7">
        <f t="shared" ref="Q18:V18" si="3">SUM(Q10:Q17)</f>
        <v>2</v>
      </c>
      <c r="R18" s="7">
        <f t="shared" si="3"/>
        <v>3</v>
      </c>
      <c r="S18" s="7">
        <f t="shared" si="3"/>
        <v>2</v>
      </c>
      <c r="T18" s="7">
        <f t="shared" si="3"/>
        <v>1</v>
      </c>
      <c r="U18" s="7">
        <f t="shared" si="3"/>
        <v>1</v>
      </c>
      <c r="V18" s="7">
        <f t="shared" si="3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Hung.Nguyen02</dc:creator>
  <cp:lastModifiedBy>Hung.Nguyen02</cp:lastModifiedBy>
  <dcterms:created xsi:type="dcterms:W3CDTF">2026-06-29T10:38:45Z</dcterms:created>
  <dcterms:modified xsi:type="dcterms:W3CDTF">2026-06-29T11:43:10Z</dcterms:modified>
</cp:coreProperties>
</file>