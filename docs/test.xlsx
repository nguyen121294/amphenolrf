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ackn\spyder\productionRF\"/>
    </mc:Choice>
  </mc:AlternateContent>
  <xr:revisionPtr revIDLastSave="0" documentId="13_ncr:1_{17C1B26A-469F-4191-8723-CEA06F06638D}" xr6:coauthVersionLast="47" xr6:coauthVersionMax="47" xr10:uidLastSave="{00000000-0000-0000-0000-000000000000}"/>
  <bookViews>
    <workbookView xWindow="-120" yWindow="-120" windowWidth="29040" windowHeight="15840" firstSheet="1" activeTab="1" xr2:uid="{DE24A67F-E9EE-4E82-A17E-F509F96E4E18}"/>
  </bookViews>
  <sheets>
    <sheet name="Sheet1" sheetId="1" state="hidden" r:id="rId1"/>
    <sheet name="Shipping list" sheetId="2" r:id="rId2"/>
    <sheet name="Sheet3" sheetId="3" state="hidden" r:id="rId3"/>
  </sheets>
  <definedNames>
    <definedName name="_xlnm._FilterDatabase" localSheetId="0" hidden="1">Sheet1!$H$2:$BI$85</definedName>
    <definedName name="_xlnm._FilterDatabase" localSheetId="1" hidden="1">'Shipping list'!$A$2:$BI$96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" i="2" l="1"/>
  <c r="U1" i="2" s="1"/>
  <c r="T1" i="2"/>
  <c r="W1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Z22" authorId="0" shapeId="0" xr:uid="{A1C89089-6618-4C34-BBA1-96A9188E4A7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Đơn partial, ko đổi ngày</t>
        </r>
      </text>
    </comment>
    <comment ref="Z57" authorId="0" shapeId="0" xr:uid="{7678455D-296D-4BA4-BCD4-3FC9C6458F5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Expedite giao 5/15</t>
        </r>
      </text>
    </comment>
    <comment ref="Z58" authorId="0" shapeId="0" xr:uid="{9B21707E-A604-4D49-9A45-6E42EFCD6A7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Expedite giao 5/17</t>
        </r>
      </text>
    </comment>
    <comment ref="Z65" authorId="0" shapeId="0" xr:uid="{3424A3A6-ADF5-4E0B-9386-85900A04A43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Cần exepdite giao 5/13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Z3" authorId="0" shapeId="0" xr:uid="{B94ECDA3-F0C6-4E31-9065-95F685ED161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Đơn partial, ko đổi ngày</t>
        </r>
      </text>
    </comment>
    <comment ref="Z12" authorId="0" shapeId="0" xr:uid="{CCB5FB67-FA2A-4804-963F-C030B8A2679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Đơn partial, ko đổi ngày</t>
        </r>
      </text>
    </comment>
    <comment ref="Z14" authorId="0" shapeId="0" xr:uid="{DDEECEFF-BFD2-4C8D-89BE-D1C7104DD86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Đơn partial, ko đổi ngày</t>
        </r>
      </text>
    </comment>
    <comment ref="Z15" authorId="0" shapeId="0" xr:uid="{0C1F8AAD-8817-4BD1-980B-87057561630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Đơn partial</t>
        </r>
      </text>
    </comment>
    <comment ref="Z17" authorId="0" shapeId="0" xr:uid="{B0162685-BF29-4D87-B37F-D926E10E3F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Đơn partial, ko đổi ngày</t>
        </r>
      </text>
    </comment>
    <comment ref="Z28" authorId="0" shapeId="0" xr:uid="{383FCADB-0BFF-4389-9E39-5E8A10B1B8B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Đơn partial, ko đổi ngày</t>
        </r>
      </text>
    </comment>
  </commentList>
</comments>
</file>

<file path=xl/sharedStrings.xml><?xml version="1.0" encoding="utf-8"?>
<sst xmlns="http://schemas.openxmlformats.org/spreadsheetml/2006/main" count="4393" uniqueCount="1034">
  <si>
    <t>P857447</t>
  </si>
  <si>
    <t>Create date</t>
  </si>
  <si>
    <t>Item</t>
  </si>
  <si>
    <t>Item description</t>
  </si>
  <si>
    <t>Customer item</t>
  </si>
  <si>
    <t>P.O.</t>
  </si>
  <si>
    <t>Customer</t>
  </si>
  <si>
    <t>MO#</t>
  </si>
  <si>
    <t>Quantity</t>
  </si>
  <si>
    <t>Issue component to Assy. line</t>
  </si>
  <si>
    <t>Act stock</t>
  </si>
  <si>
    <t>To be produced</t>
  </si>
  <si>
    <t>Selling price</t>
  </si>
  <si>
    <t>Net sales amount</t>
  </si>
  <si>
    <t>Partial</t>
  </si>
  <si>
    <t>Expedite Q2.2026</t>
  </si>
  <si>
    <t>XA std hour</t>
  </si>
  <si>
    <t>XA working hour</t>
  </si>
  <si>
    <t>UPH</t>
  </si>
  <si>
    <t>Wk day with 1 set of fixture</t>
  </si>
  <si>
    <t>Material ETD</t>
  </si>
  <si>
    <t>Material input complete (Truck)</t>
  </si>
  <si>
    <t>Mfg Month</t>
  </si>
  <si>
    <t>Mfg due date</t>
  </si>
  <si>
    <t>Ship date</t>
  </si>
  <si>
    <t>Shipping Month</t>
  </si>
  <si>
    <t>Check</t>
  </si>
  <si>
    <t>Request date</t>
  </si>
  <si>
    <t>Promise date</t>
  </si>
  <si>
    <t>Check ship date w/ promise date</t>
  </si>
  <si>
    <t>%OTDP</t>
  </si>
  <si>
    <t>%OTDR</t>
  </si>
  <si>
    <t>No of late day</t>
  </si>
  <si>
    <t>FG LT with ship date</t>
  </si>
  <si>
    <t>Component LT</t>
  </si>
  <si>
    <t>Status</t>
  </si>
  <si>
    <t>Ship term</t>
  </si>
  <si>
    <t>Remark Expedite</t>
  </si>
  <si>
    <t>Remark</t>
  </si>
  <si>
    <t>Remark Fixture</t>
  </si>
  <si>
    <t>Date need fixture</t>
  </si>
  <si>
    <t>ETA Fixture</t>
  </si>
  <si>
    <t>Order</t>
  </si>
  <si>
    <t>Line item sequence</t>
  </si>
  <si>
    <t>CO</t>
  </si>
  <si>
    <t>Unit weight</t>
  </si>
  <si>
    <t>Supplementary weight</t>
  </si>
  <si>
    <t>Pieces per</t>
  </si>
  <si>
    <t>Length</t>
  </si>
  <si>
    <t>Width</t>
  </si>
  <si>
    <t>Height</t>
  </si>
  <si>
    <t>Carton box</t>
  </si>
  <si>
    <t>Customer PO</t>
  </si>
  <si>
    <t>Method package</t>
  </si>
  <si>
    <t>Solder PN</t>
  </si>
  <si>
    <t>No. machine</t>
  </si>
  <si>
    <t>Ink Printing</t>
  </si>
  <si>
    <t>Letter rolling</t>
  </si>
  <si>
    <t>Tape and reel</t>
  </si>
  <si>
    <t>118302-118-A027</t>
  </si>
  <si>
    <t>SMP-FS2A-1259</t>
  </si>
  <si>
    <t>P858610</t>
  </si>
  <si>
    <t>RFNA</t>
  </si>
  <si>
    <t>M056040</t>
  </si>
  <si>
    <t>Done</t>
  </si>
  <si>
    <t>Full</t>
  </si>
  <si>
    <t>May-26</t>
  </si>
  <si>
    <t xml:space="preserve"> </t>
  </si>
  <si>
    <t>On time</t>
  </si>
  <si>
    <t>Late</t>
  </si>
  <si>
    <t>1 = By Air</t>
  </si>
  <si>
    <t>Expedite</t>
  </si>
  <si>
    <t>Open</t>
  </si>
  <si>
    <t>5407-100</t>
  </si>
  <si>
    <t>INDV/PRT</t>
  </si>
  <si>
    <t>No</t>
  </si>
  <si>
    <t>101535-177-C022</t>
  </si>
  <si>
    <t>N645100-003-T/AT3G-50</t>
  </si>
  <si>
    <t>P858715</t>
  </si>
  <si>
    <t>M056210</t>
  </si>
  <si>
    <t>2 = By Sea</t>
  </si>
  <si>
    <t>5390-100</t>
  </si>
  <si>
    <t>N645100-003/TRAY</t>
  </si>
  <si>
    <t>100603-118-C022</t>
  </si>
  <si>
    <t>B6321A2-003-NT3G-316U-50</t>
  </si>
  <si>
    <t>P858699</t>
  </si>
  <si>
    <t>M056360</t>
  </si>
  <si>
    <t>5375-100</t>
  </si>
  <si>
    <t>101400-118-A027</t>
  </si>
  <si>
    <t>N2071A1-NT3G-50</t>
  </si>
  <si>
    <t>082-100-RFX</t>
  </si>
  <si>
    <t>P858695</t>
  </si>
  <si>
    <t>M056400</t>
  </si>
  <si>
    <t>5371-100</t>
  </si>
  <si>
    <t>118468-118-A027</t>
  </si>
  <si>
    <t>31-70564-12G</t>
  </si>
  <si>
    <t>031-70564-12G</t>
  </si>
  <si>
    <t>P858689</t>
  </si>
  <si>
    <t>M056440</t>
  </si>
  <si>
    <t>5367-100</t>
  </si>
  <si>
    <t>Yes</t>
  </si>
  <si>
    <t>102584-118-C022</t>
  </si>
  <si>
    <t>SMA1111G2-3GT50G-196AU-50</t>
  </si>
  <si>
    <t>P858802</t>
  </si>
  <si>
    <t>M056560</t>
  </si>
  <si>
    <t>5356-100</t>
  </si>
  <si>
    <t>102689-118-C022</t>
  </si>
  <si>
    <t>SMA1182A2-3GT50G-.085-50</t>
  </si>
  <si>
    <t>P858797</t>
  </si>
  <si>
    <t>M056610</t>
  </si>
  <si>
    <t>5351-100</t>
  </si>
  <si>
    <t>105949-118-C022</t>
  </si>
  <si>
    <t>RT1121A1-021-NT3G-50</t>
  </si>
  <si>
    <t>122108RP</t>
  </si>
  <si>
    <t>P858791</t>
  </si>
  <si>
    <t>M056670</t>
  </si>
  <si>
    <t>5345-100</t>
  </si>
  <si>
    <t>100173-118-C022</t>
  </si>
  <si>
    <t>B1121AA-ND3G-8X-50</t>
  </si>
  <si>
    <t>P858789</t>
  </si>
  <si>
    <t>M056690</t>
  </si>
  <si>
    <t>5343-100</t>
  </si>
  <si>
    <t>100752-118-C022</t>
  </si>
  <si>
    <t>B6651B1-NNYL3G-50</t>
  </si>
  <si>
    <t>P858786</t>
  </si>
  <si>
    <t>M056720</t>
  </si>
  <si>
    <t>5340-100</t>
  </si>
  <si>
    <t>104818-118-A027</t>
  </si>
  <si>
    <t>31-318</t>
  </si>
  <si>
    <t>031-318</t>
  </si>
  <si>
    <t>P858752</t>
  </si>
  <si>
    <t>M056930</t>
  </si>
  <si>
    <t>Delay from 3/28, lack of mold</t>
  </si>
  <si>
    <t>5319-100</t>
  </si>
  <si>
    <t>104737-118-A027</t>
  </si>
  <si>
    <t>31-202</t>
  </si>
  <si>
    <t>031-202</t>
  </si>
  <si>
    <t>P858744</t>
  </si>
  <si>
    <t>M057010</t>
  </si>
  <si>
    <t>5311-100</t>
  </si>
  <si>
    <t>106245-118-C022</t>
  </si>
  <si>
    <t>RSMA6411G3-010-3GT5GP-50</t>
  </si>
  <si>
    <t>132422RP-10B</t>
  </si>
  <si>
    <t>P858863</t>
  </si>
  <si>
    <t>M057190</t>
  </si>
  <si>
    <t>5293-100</t>
  </si>
  <si>
    <t>100250118A027^S</t>
  </si>
  <si>
    <t>B1121F1-ND3G-179U-50SAP</t>
  </si>
  <si>
    <t>031-242-RFX</t>
  </si>
  <si>
    <t>P858849</t>
  </si>
  <si>
    <t>M057280</t>
  </si>
  <si>
    <t>5284-100</t>
  </si>
  <si>
    <t>102856-118-C022</t>
  </si>
  <si>
    <t>SMA6251A1-070-5GPT5GP-50</t>
  </si>
  <si>
    <t>132357-11</t>
  </si>
  <si>
    <t>P858947</t>
  </si>
  <si>
    <t>M057360</t>
  </si>
  <si>
    <t>5276-100</t>
  </si>
  <si>
    <t>100469-118-C022</t>
  </si>
  <si>
    <t>B6121G1-NT3G-196AU-50</t>
  </si>
  <si>
    <t>P858943</t>
  </si>
  <si>
    <t>M057390</t>
  </si>
  <si>
    <t>5273-100</t>
  </si>
  <si>
    <t>100272-118-C022</t>
  </si>
  <si>
    <t>B1121BA-ND3G-223U-50</t>
  </si>
  <si>
    <t>P858942</t>
  </si>
  <si>
    <t>M057400</t>
  </si>
  <si>
    <t>5272-100</t>
  </si>
  <si>
    <t>100759118A027^S</t>
  </si>
  <si>
    <t>B6651B1-001-NNYLS-50KAP</t>
  </si>
  <si>
    <t>031-10-RFX</t>
  </si>
  <si>
    <t>P858939</t>
  </si>
  <si>
    <t>M057410</t>
  </si>
  <si>
    <t>5271-100</t>
  </si>
  <si>
    <t>100220-118-C022</t>
  </si>
  <si>
    <t>B1121A6-NT3G-9913-50</t>
  </si>
  <si>
    <t>P858927</t>
  </si>
  <si>
    <t>M057570</t>
  </si>
  <si>
    <t>5261-100</t>
  </si>
  <si>
    <t>105356-118-A027</t>
  </si>
  <si>
    <t>000-36775</t>
  </si>
  <si>
    <t>P858925</t>
  </si>
  <si>
    <t>M057600</t>
  </si>
  <si>
    <t>5259-200</t>
  </si>
  <si>
    <t>103829-118-A027</t>
  </si>
  <si>
    <t>000-27000</t>
  </si>
  <si>
    <t>P858983</t>
  </si>
  <si>
    <t>M057920</t>
  </si>
  <si>
    <t>5230-100</t>
  </si>
  <si>
    <t>102541-118-C022</t>
  </si>
  <si>
    <t>SMA1005A2-3G</t>
  </si>
  <si>
    <t>P859066</t>
  </si>
  <si>
    <t>M057970</t>
  </si>
  <si>
    <t>5437-100</t>
  </si>
  <si>
    <t>102619-118-C022</t>
  </si>
  <si>
    <t>SMA1112A4-3GT50G-223U-50</t>
  </si>
  <si>
    <t>P859063</t>
  </si>
  <si>
    <t>M058000</t>
  </si>
  <si>
    <t>5434-100</t>
  </si>
  <si>
    <t>104773-118-A027</t>
  </si>
  <si>
    <t>31-219</t>
  </si>
  <si>
    <t>031-219</t>
  </si>
  <si>
    <t>P859055</t>
  </si>
  <si>
    <t>M058060</t>
  </si>
  <si>
    <t>5428-100</t>
  </si>
  <si>
    <t>114655-191-STPK</t>
  </si>
  <si>
    <t>SMP-MSCM-PCS-10</t>
  </si>
  <si>
    <t>P859053</t>
  </si>
  <si>
    <t>M058080</t>
  </si>
  <si>
    <t>NA</t>
  </si>
  <si>
    <t>5426-100</t>
  </si>
  <si>
    <t>800PCS/C&amp;R</t>
  </si>
  <si>
    <t>114672-118-A027</t>
  </si>
  <si>
    <t>SMP-MSLD-PCS-2</t>
  </si>
  <si>
    <t>P859045</t>
  </si>
  <si>
    <t>M058120</t>
  </si>
  <si>
    <t>5422-100</t>
  </si>
  <si>
    <t>102241-118-C022</t>
  </si>
  <si>
    <t>MMCX1121A1-3GT30G-316U-50</t>
  </si>
  <si>
    <t>P859123</t>
  </si>
  <si>
    <t>M058550</t>
  </si>
  <si>
    <t>5463-100</t>
  </si>
  <si>
    <t>103051-118-C022</t>
  </si>
  <si>
    <t>SMA6551E9-003-3GT50G-50</t>
  </si>
  <si>
    <t>P859118</t>
  </si>
  <si>
    <t>M058600</t>
  </si>
  <si>
    <t>5458-100</t>
  </si>
  <si>
    <t>118466-118-A027</t>
  </si>
  <si>
    <t>SMP-FS-C06-1-R</t>
  </si>
  <si>
    <t>P859112</t>
  </si>
  <si>
    <t>M058630</t>
  </si>
  <si>
    <t>5455-100</t>
  </si>
  <si>
    <t>102591-118-C022</t>
  </si>
  <si>
    <t>SMA1111A2-012-3GT50G-50</t>
  </si>
  <si>
    <t>P859062</t>
  </si>
  <si>
    <t>M058640</t>
  </si>
  <si>
    <t>5454-100</t>
  </si>
  <si>
    <t>101237-118-C022</t>
  </si>
  <si>
    <t>N1112B2-AT30GA-8X-50</t>
  </si>
  <si>
    <t>P859275</t>
  </si>
  <si>
    <t>M058830</t>
  </si>
  <si>
    <t>5526-100</t>
  </si>
  <si>
    <t>101000-118-C022</t>
  </si>
  <si>
    <t>T1121EA-004-NT3G-50</t>
  </si>
  <si>
    <t>P859270</t>
  </si>
  <si>
    <t>M058880</t>
  </si>
  <si>
    <t>5521-100</t>
  </si>
  <si>
    <t>P859256</t>
  </si>
  <si>
    <t>M059010</t>
  </si>
  <si>
    <t>5508-100</t>
  </si>
  <si>
    <t>100812118A027^S</t>
  </si>
  <si>
    <t>B7471B1-ND3G-50SAP</t>
  </si>
  <si>
    <t>031-220N-RFX</t>
  </si>
  <si>
    <t>P859314</t>
  </si>
  <si>
    <t>M059260</t>
  </si>
  <si>
    <t>5538-100</t>
  </si>
  <si>
    <t>105156-118-A027</t>
  </si>
  <si>
    <t>31-70526-12</t>
  </si>
  <si>
    <t>031-70526-12</t>
  </si>
  <si>
    <t>P859365</t>
  </si>
  <si>
    <t>M059390</t>
  </si>
  <si>
    <t>5560-100</t>
  </si>
  <si>
    <t>100486-118-C022</t>
  </si>
  <si>
    <t>B6141A1-NT3G-58U-50</t>
  </si>
  <si>
    <t>P859301</t>
  </si>
  <si>
    <t>M059430</t>
  </si>
  <si>
    <t>5556-100</t>
  </si>
  <si>
    <t>131465-118-WT03</t>
  </si>
  <si>
    <t>B6421E1-022-NT3G-50</t>
  </si>
  <si>
    <t>P859298</t>
  </si>
  <si>
    <t>M059450</t>
  </si>
  <si>
    <t>5554-100</t>
  </si>
  <si>
    <t>P859417</t>
  </si>
  <si>
    <t>M059550</t>
  </si>
  <si>
    <t>5583-100</t>
  </si>
  <si>
    <t>V00009-286-A027</t>
  </si>
  <si>
    <t>06256001-501</t>
  </si>
  <si>
    <t>PO5000013177</t>
  </si>
  <si>
    <t>ALTW</t>
  </si>
  <si>
    <t>M059490</t>
  </si>
  <si>
    <t>Jun-26</t>
  </si>
  <si>
    <t>3= Land</t>
  </si>
  <si>
    <t>5565-100</t>
  </si>
  <si>
    <t>100008-118-C022</t>
  </si>
  <si>
    <t>B1004A1-ND3G-50R-0.05-1W</t>
  </si>
  <si>
    <t>P859506</t>
  </si>
  <si>
    <t>M059740</t>
  </si>
  <si>
    <t>4274-102</t>
  </si>
  <si>
    <t>P856069</t>
  </si>
  <si>
    <t>102664-118-A027</t>
  </si>
  <si>
    <t>SMA1181A2-3GT50G-.085-50</t>
  </si>
  <si>
    <t>901-9867-RFX</t>
  </si>
  <si>
    <t>P859503</t>
  </si>
  <si>
    <t>M059770</t>
  </si>
  <si>
    <t>4274-105</t>
  </si>
  <si>
    <t>P856072</t>
  </si>
  <si>
    <t>102575-118-A027</t>
  </si>
  <si>
    <t>SMA1111A2-NT50G-316U-50</t>
  </si>
  <si>
    <t>901-9877-RFX</t>
  </si>
  <si>
    <t>P859501</t>
  </si>
  <si>
    <t>M059790</t>
  </si>
  <si>
    <t>4274-107</t>
  </si>
  <si>
    <t>P856074</t>
  </si>
  <si>
    <t>114661-031-A027</t>
  </si>
  <si>
    <t>SMP-MSFD-PCE-1</t>
  </si>
  <si>
    <t>P859487</t>
  </si>
  <si>
    <t>M059930</t>
  </si>
  <si>
    <t>4274-121</t>
  </si>
  <si>
    <t>P856088</t>
  </si>
  <si>
    <t>1K/C&amp;R</t>
  </si>
  <si>
    <t>119649-031-STPK</t>
  </si>
  <si>
    <t>925-204J-51PT</t>
  </si>
  <si>
    <t>P859486</t>
  </si>
  <si>
    <t>M059940</t>
  </si>
  <si>
    <t>4274-122</t>
  </si>
  <si>
    <t>P856089</t>
  </si>
  <si>
    <t>102538-118-C022</t>
  </si>
  <si>
    <t>SMA1005A3-001-3G</t>
  </si>
  <si>
    <t>202112-10</t>
  </si>
  <si>
    <t>P859479</t>
  </si>
  <si>
    <t>M059970</t>
  </si>
  <si>
    <t>4274-125</t>
  </si>
  <si>
    <t>P856092</t>
  </si>
  <si>
    <t>G50/BULK</t>
  </si>
  <si>
    <t>103461-103-C022</t>
  </si>
  <si>
    <t>SMB6121A1-022-3GT30G-50</t>
  </si>
  <si>
    <t>142186B</t>
  </si>
  <si>
    <t>P859476</t>
  </si>
  <si>
    <t>M059980</t>
  </si>
  <si>
    <t>4274-126</t>
  </si>
  <si>
    <t>P856093</t>
  </si>
  <si>
    <t>104815-118-A027</t>
  </si>
  <si>
    <t>31-315-RFX</t>
  </si>
  <si>
    <t>031-315-RFX</t>
  </si>
  <si>
    <t>P859579</t>
  </si>
  <si>
    <t>M060080</t>
  </si>
  <si>
    <t>5652-100</t>
  </si>
  <si>
    <t>P856714</t>
  </si>
  <si>
    <t>100630118A027^S</t>
  </si>
  <si>
    <t>B6351D4-ND3G-50KAP</t>
  </si>
  <si>
    <t>031-221-RFX</t>
  </si>
  <si>
    <t>P859578</t>
  </si>
  <si>
    <t>M060090</t>
  </si>
  <si>
    <t>5651-100</t>
  </si>
  <si>
    <t>P856715</t>
  </si>
  <si>
    <t>100542-118-C022</t>
  </si>
  <si>
    <t>B6251C3-003-3GT3G-75</t>
  </si>
  <si>
    <t>112405-10-24</t>
  </si>
  <si>
    <t>P859468</t>
  </si>
  <si>
    <t>M060400</t>
  </si>
  <si>
    <t>5620-100</t>
  </si>
  <si>
    <t>P856746</t>
  </si>
  <si>
    <t>102672-118-C022</t>
  </si>
  <si>
    <t>SMA1181A3-3GT50G-.085-50</t>
  </si>
  <si>
    <t>P859669</t>
  </si>
  <si>
    <t>M060470</t>
  </si>
  <si>
    <t>5721-100</t>
  </si>
  <si>
    <t>100832-118-C022</t>
  </si>
  <si>
    <t>B7771B3-ND3G-50</t>
  </si>
  <si>
    <t>P859658</t>
  </si>
  <si>
    <t>M060580</t>
  </si>
  <si>
    <t>5710-100</t>
  </si>
  <si>
    <t>100448-118-A027</t>
  </si>
  <si>
    <t>B6121E1-ND3G-179U-75</t>
  </si>
  <si>
    <t>031-71014-RFX</t>
  </si>
  <si>
    <t>P859638</t>
  </si>
  <si>
    <t>M060780</t>
  </si>
  <si>
    <t>5690-100</t>
  </si>
  <si>
    <t>119328-286-C022</t>
  </si>
  <si>
    <t>SMA6251A1-147-3GT5GP-50</t>
  </si>
  <si>
    <t>P859617</t>
  </si>
  <si>
    <t>M060970</t>
  </si>
  <si>
    <t>5671-100</t>
  </si>
  <si>
    <t>TRAY</t>
  </si>
  <si>
    <t>105246-245-A027</t>
  </si>
  <si>
    <t>34-1026</t>
  </si>
  <si>
    <t>034-1026</t>
  </si>
  <si>
    <t>P859606</t>
  </si>
  <si>
    <t>M061070</t>
  </si>
  <si>
    <t>5663-100</t>
  </si>
  <si>
    <t>INDV/PRT-HD-BNC</t>
  </si>
  <si>
    <t>106227-118-C022</t>
  </si>
  <si>
    <t>RSMA6252A2-3GT50G-50</t>
  </si>
  <si>
    <t>132136RP</t>
  </si>
  <si>
    <t>P859602</t>
  </si>
  <si>
    <t>M061090</t>
  </si>
  <si>
    <t>Truck 4/24</t>
  </si>
  <si>
    <t>5661-100</t>
  </si>
  <si>
    <t>102952-118-A027</t>
  </si>
  <si>
    <t>SMA6351B1-NT50G-50</t>
  </si>
  <si>
    <t>901-9889-RFX</t>
  </si>
  <si>
    <t>P859712</t>
  </si>
  <si>
    <t>M061710</t>
  </si>
  <si>
    <t>EXpedite</t>
  </si>
  <si>
    <t>5755-100</t>
  </si>
  <si>
    <t>102545-118-C022</t>
  </si>
  <si>
    <t>SMA1005A4-001-3GT5GP-50</t>
  </si>
  <si>
    <t>P859814</t>
  </si>
  <si>
    <t>M062080</t>
  </si>
  <si>
    <t>4650-106</t>
  </si>
  <si>
    <t>103021-118-C022</t>
  </si>
  <si>
    <t>SMA6451B1-3GT50G-50</t>
  </si>
  <si>
    <t>P859808</t>
  </si>
  <si>
    <t>M062150</t>
  </si>
  <si>
    <t>4650-113</t>
  </si>
  <si>
    <t>P859802</t>
  </si>
  <si>
    <t>M062200</t>
  </si>
  <si>
    <t>4650-118</t>
  </si>
  <si>
    <t>101040-118-C022</t>
  </si>
  <si>
    <t>T6005A1-N</t>
  </si>
  <si>
    <t>P859895</t>
  </si>
  <si>
    <t>M062240</t>
  </si>
  <si>
    <t>5833-100</t>
  </si>
  <si>
    <t>104761-118-A027</t>
  </si>
  <si>
    <t>31-216</t>
  </si>
  <si>
    <t>031-216</t>
  </si>
  <si>
    <t>P859876</t>
  </si>
  <si>
    <t>M062370</t>
  </si>
  <si>
    <t>5820-100</t>
  </si>
  <si>
    <t>103026-286-A047</t>
  </si>
  <si>
    <t>SMA645100-008-3GT5GP-50</t>
  </si>
  <si>
    <t>132421TRAY</t>
  </si>
  <si>
    <t>PO381111</t>
  </si>
  <si>
    <t>RFNL</t>
  </si>
  <si>
    <t>M062720</t>
  </si>
  <si>
    <t>5863-100</t>
  </si>
  <si>
    <t>102907-118-C022</t>
  </si>
  <si>
    <t>SMA6252A9-NT50G-50</t>
  </si>
  <si>
    <t>132203N</t>
  </si>
  <si>
    <t>P860085</t>
  </si>
  <si>
    <t>M062920</t>
  </si>
  <si>
    <t>5915-100</t>
  </si>
  <si>
    <t>P860084</t>
  </si>
  <si>
    <t>M062930</t>
  </si>
  <si>
    <t>5914-100</t>
  </si>
  <si>
    <t>118315-118-A027</t>
  </si>
  <si>
    <t>SMP-FS2A-645</t>
  </si>
  <si>
    <t>P860269</t>
  </si>
  <si>
    <t>M063980</t>
  </si>
  <si>
    <t>5965-100</t>
  </si>
  <si>
    <t>121806-135-A027</t>
  </si>
  <si>
    <t>SMP-MSLD-PCS-NM</t>
  </si>
  <si>
    <t>PO384187</t>
  </si>
  <si>
    <t>M065870</t>
  </si>
  <si>
    <t>6180-100</t>
  </si>
  <si>
    <t>N50/TRAY</t>
  </si>
  <si>
    <t>121225-135-A027</t>
  </si>
  <si>
    <t>SMP-MSCM-PCS-12</t>
  </si>
  <si>
    <t>PO385318</t>
  </si>
  <si>
    <t>M067960</t>
  </si>
  <si>
    <t>6369-600</t>
  </si>
  <si>
    <t>106113-118-A027</t>
  </si>
  <si>
    <t>000-5675</t>
  </si>
  <si>
    <t>P857442</t>
  </si>
  <si>
    <t>M070020</t>
  </si>
  <si>
    <t>KH cần giao full đơn (đã đặt mua)</t>
  </si>
  <si>
    <t>4826-100</t>
  </si>
  <si>
    <t>PLD2603290001</t>
  </si>
  <si>
    <t>117859-118-A027</t>
  </si>
  <si>
    <t>34-1131-12G</t>
  </si>
  <si>
    <t>034-1131-12G</t>
  </si>
  <si>
    <t>P858239</t>
  </si>
  <si>
    <t>M072380</t>
  </si>
  <si>
    <t>TBD</t>
  </si>
  <si>
    <t>OK</t>
  </si>
  <si>
    <t>5129-100</t>
  </si>
  <si>
    <t>PLD2604010001</t>
  </si>
  <si>
    <t>117082-191-STPK</t>
  </si>
  <si>
    <t>919-384J-51PT</t>
  </si>
  <si>
    <t>P858930</t>
  </si>
  <si>
    <t>M057490</t>
  </si>
  <si>
    <t>5264-200</t>
  </si>
  <si>
    <t>131514-118-A027</t>
  </si>
  <si>
    <t>TNC.2235009-NQ/J5</t>
  </si>
  <si>
    <t>031-5607</t>
  </si>
  <si>
    <t>P857514</t>
  </si>
  <si>
    <t>M052170</t>
  </si>
  <si>
    <t>KH cần full đơn ( check mua liệu)</t>
  </si>
  <si>
    <t>4896-100</t>
  </si>
  <si>
    <t>104779-118-A027</t>
  </si>
  <si>
    <t>31-221</t>
  </si>
  <si>
    <t>031-221</t>
  </si>
  <si>
    <t>P858749</t>
  </si>
  <si>
    <t>M072920</t>
  </si>
  <si>
    <t>Jul-26</t>
  </si>
  <si>
    <t>5316-100</t>
  </si>
  <si>
    <t>PLD2604090001</t>
  </si>
  <si>
    <t>102278-118-C022</t>
  </si>
  <si>
    <t>MMCX6252N3-3GT30G-50</t>
  </si>
  <si>
    <t>P857770</t>
  </si>
  <si>
    <t>M052850</t>
  </si>
  <si>
    <t>4988-300</t>
  </si>
  <si>
    <t>101930-118-C022</t>
  </si>
  <si>
    <t>U1005A1-001-N</t>
  </si>
  <si>
    <t>202102-10</t>
  </si>
  <si>
    <t>P859507</t>
  </si>
  <si>
    <t>M059730</t>
  </si>
  <si>
    <t>4274-101</t>
  </si>
  <si>
    <t>P856068</t>
  </si>
  <si>
    <t>102612-118-A027</t>
  </si>
  <si>
    <t>SMA1112A3-10GT50G-316U-50</t>
  </si>
  <si>
    <t>901-9872</t>
  </si>
  <si>
    <t>P858727</t>
  </si>
  <si>
    <t>M073130</t>
  </si>
  <si>
    <t>KH cần giao full đơn (đã đủ liệu)</t>
  </si>
  <si>
    <t>5400-100</t>
  </si>
  <si>
    <t>PLD2604230001</t>
  </si>
  <si>
    <t>106123-118-C022</t>
  </si>
  <si>
    <t>RSMA1004A5-001-3GT5GP-50</t>
  </si>
  <si>
    <t>132360RP</t>
  </si>
  <si>
    <t>P859140</t>
  </si>
  <si>
    <t>M073140</t>
  </si>
  <si>
    <t>Apr-26</t>
  </si>
  <si>
    <t>5479-100</t>
  </si>
  <si>
    <t>PLD2604280001</t>
  </si>
  <si>
    <t>M052860</t>
  </si>
  <si>
    <t>4988-400</t>
  </si>
  <si>
    <t>V00010-286-A027</t>
  </si>
  <si>
    <t>MCX6252B1-004-3GT30G-50</t>
  </si>
  <si>
    <t>252143B</t>
  </si>
  <si>
    <t>P859481</t>
  </si>
  <si>
    <t>M059960</t>
  </si>
  <si>
    <t>4274-124</t>
  </si>
  <si>
    <t>P856091</t>
  </si>
  <si>
    <t>100919-118-C022</t>
  </si>
  <si>
    <t>T1005A1-002-N</t>
  </si>
  <si>
    <t>202101-10</t>
  </si>
  <si>
    <t>P860070</t>
  </si>
  <si>
    <t>M063070</t>
  </si>
  <si>
    <t>5900-100</t>
  </si>
  <si>
    <t>101262-118-C022</t>
  </si>
  <si>
    <t>N1112B6-011-AT5GP-50</t>
  </si>
  <si>
    <t>P857154</t>
  </si>
  <si>
    <t>M058200</t>
  </si>
  <si>
    <t>4641-200</t>
  </si>
  <si>
    <t>P859882</t>
  </si>
  <si>
    <t>M062340</t>
  </si>
  <si>
    <t>5823-100</t>
  </si>
  <si>
    <t>105005-118-A027</t>
  </si>
  <si>
    <t>31-6501</t>
  </si>
  <si>
    <t>031-6501</t>
  </si>
  <si>
    <t>P859046</t>
  </si>
  <si>
    <t>M058110</t>
  </si>
  <si>
    <t>5423-100</t>
  </si>
  <si>
    <t>104748-103-A027</t>
  </si>
  <si>
    <t>31-204</t>
  </si>
  <si>
    <t>031-204</t>
  </si>
  <si>
    <t>P858571</t>
  </si>
  <si>
    <t>M055910</t>
  </si>
  <si>
    <t>5227-100</t>
  </si>
  <si>
    <t>Status Material</t>
  </si>
  <si>
    <t>Ready material</t>
  </si>
  <si>
    <t>Đủ liệu , kho đang soạn phát ra</t>
  </si>
  <si>
    <t>Đang nhập liệu</t>
  </si>
  <si>
    <t>Ưu tiên 1</t>
  </si>
  <si>
    <t>Ưu tiên của PMc</t>
  </si>
  <si>
    <t>M056000</t>
  </si>
  <si>
    <t>M056510</t>
  </si>
  <si>
    <t>M057040</t>
  </si>
  <si>
    <t>M057130</t>
  </si>
  <si>
    <t>M057350</t>
  </si>
  <si>
    <t>M057980</t>
  </si>
  <si>
    <t>100617-118-C022</t>
  </si>
  <si>
    <t>B6351B1-ND3G-50</t>
  </si>
  <si>
    <t>M058010</t>
  </si>
  <si>
    <t>M059110</t>
  </si>
  <si>
    <t>M059920</t>
  </si>
  <si>
    <t>M060300</t>
  </si>
  <si>
    <t>M060310</t>
  </si>
  <si>
    <t>M060360</t>
  </si>
  <si>
    <t>Status material</t>
  </si>
  <si>
    <t>Có liệu, chờ soạn</t>
  </si>
  <si>
    <t>34-1030-12G</t>
  </si>
  <si>
    <t>SMA6251A1-123-3GT50G-50</t>
  </si>
  <si>
    <t>M053940</t>
  </si>
  <si>
    <t>PMC ưu tiên</t>
  </si>
  <si>
    <t>V00008-286-A027</t>
  </si>
  <si>
    <t>04290001-501</t>
  </si>
  <si>
    <t>SS0 ALTW</t>
  </si>
  <si>
    <t>M055550</t>
  </si>
  <si>
    <t>Lỗi liệu</t>
  </si>
  <si>
    <t>-</t>
  </si>
  <si>
    <t>103018-118-C022</t>
  </si>
  <si>
    <t>SMA6412B1-002-3GT5GP-50</t>
  </si>
  <si>
    <t>132245-10</t>
  </si>
  <si>
    <t>P858806</t>
  </si>
  <si>
    <t>M056520</t>
  </si>
  <si>
    <t>5360-100</t>
  </si>
  <si>
    <t>P858928</t>
  </si>
  <si>
    <t>M057540</t>
  </si>
  <si>
    <t>5262-300</t>
  </si>
  <si>
    <t>M057610</t>
  </si>
  <si>
    <t>5259-300</t>
  </si>
  <si>
    <t>M057630</t>
  </si>
  <si>
    <t>5259-500</t>
  </si>
  <si>
    <t>P858982</t>
  </si>
  <si>
    <t>M057950</t>
  </si>
  <si>
    <t>5229-300</t>
  </si>
  <si>
    <t>M058040</t>
  </si>
  <si>
    <t>104828-118-A027</t>
  </si>
  <si>
    <t>31-326</t>
  </si>
  <si>
    <t>031-326</t>
  </si>
  <si>
    <t>P859056</t>
  </si>
  <si>
    <t>M058050</t>
  </si>
  <si>
    <t>5429-100</t>
  </si>
  <si>
    <t>101203-118-C022</t>
  </si>
  <si>
    <t>N0005A1-N</t>
  </si>
  <si>
    <t>P859143</t>
  </si>
  <si>
    <t>M058360</t>
  </si>
  <si>
    <t>5482-100</t>
  </si>
  <si>
    <t>101168-118-C022</t>
  </si>
  <si>
    <t>T7471A1-ND3G-50</t>
  </si>
  <si>
    <t>P859134</t>
  </si>
  <si>
    <t>M058450</t>
  </si>
  <si>
    <t>5473-100</t>
  </si>
  <si>
    <t>P859132</t>
  </si>
  <si>
    <t>M058470</t>
  </si>
  <si>
    <t>5471-100</t>
  </si>
  <si>
    <t>115986-118-A027</t>
  </si>
  <si>
    <t>34-1122-12G</t>
  </si>
  <si>
    <t>034-1122-12G</t>
  </si>
  <si>
    <t>P859128</t>
  </si>
  <si>
    <t>M058500</t>
  </si>
  <si>
    <t>5468-100</t>
  </si>
  <si>
    <t>100666118A027^S</t>
  </si>
  <si>
    <t>B6421E1-ND3G-316U-50SAP</t>
  </si>
  <si>
    <t>031-318-RFX</t>
  </si>
  <si>
    <t>P859127</t>
  </si>
  <si>
    <t>M058510</t>
  </si>
  <si>
    <t>5467-100</t>
  </si>
  <si>
    <t>100434118A027^S</t>
  </si>
  <si>
    <t>B6121B1-ND3G-142AU-50SAP</t>
  </si>
  <si>
    <t>000-36800-RFX</t>
  </si>
  <si>
    <t>P859126</t>
  </si>
  <si>
    <t>M058520</t>
  </si>
  <si>
    <t>5466-100</t>
  </si>
  <si>
    <t>100329118A027^S</t>
  </si>
  <si>
    <t>B1122B1-ND3G-142AU-50SAP</t>
  </si>
  <si>
    <t>031-335-RFX</t>
  </si>
  <si>
    <t>P858756</t>
  </si>
  <si>
    <t>M058690</t>
  </si>
  <si>
    <t>5449-100</t>
  </si>
  <si>
    <t>P859276</t>
  </si>
  <si>
    <t>M058820</t>
  </si>
  <si>
    <t>5527-100</t>
  </si>
  <si>
    <t>100415-118-C022</t>
  </si>
  <si>
    <t>B6005A1-N</t>
  </si>
  <si>
    <t>P859269</t>
  </si>
  <si>
    <t>M058890</t>
  </si>
  <si>
    <t>5520-100</t>
  </si>
  <si>
    <t>100165-118-C022</t>
  </si>
  <si>
    <t>B1121AA-ND3G-59U/20AWG-75</t>
  </si>
  <si>
    <t>P859266</t>
  </si>
  <si>
    <t>M058920</t>
  </si>
  <si>
    <t>5517-100</t>
  </si>
  <si>
    <t>100088-118-C022</t>
  </si>
  <si>
    <t>B1121A1-ND3G-58CU-50</t>
  </si>
  <si>
    <t>P859264</t>
  </si>
  <si>
    <t>M058940</t>
  </si>
  <si>
    <t>5515-100</t>
  </si>
  <si>
    <t>104788-118-A027</t>
  </si>
  <si>
    <t>31-2226</t>
  </si>
  <si>
    <t>031-2226</t>
  </si>
  <si>
    <t>P859260</t>
  </si>
  <si>
    <t>M058970</t>
  </si>
  <si>
    <t>5512-100</t>
  </si>
  <si>
    <t>P859259</t>
  </si>
  <si>
    <t>M058980</t>
  </si>
  <si>
    <t>5511-100</t>
  </si>
  <si>
    <t>P859258</t>
  </si>
  <si>
    <t>M058990</t>
  </si>
  <si>
    <t>5510-100</t>
  </si>
  <si>
    <t>102540-118-C022</t>
  </si>
  <si>
    <t>SMA1005A1-3G50G-50</t>
  </si>
  <si>
    <t>P859211</t>
  </si>
  <si>
    <t>M059050</t>
  </si>
  <si>
    <t>5504-100</t>
  </si>
  <si>
    <t>100453-118-C022</t>
  </si>
  <si>
    <t>B6121E1-ND3G-316U-50</t>
  </si>
  <si>
    <t>P859209</t>
  </si>
  <si>
    <t>M059070</t>
  </si>
  <si>
    <t>5502-100</t>
  </si>
  <si>
    <t>P859320</t>
  </si>
  <si>
    <t>M059200</t>
  </si>
  <si>
    <t>5544-100</t>
  </si>
  <si>
    <t>100949118A027^S</t>
  </si>
  <si>
    <t>T1121A1-ND3G-142AU-50SAP</t>
  </si>
  <si>
    <t>031-2367-RFX</t>
  </si>
  <si>
    <t>P859317</t>
  </si>
  <si>
    <t>M059230</t>
  </si>
  <si>
    <t>5541-100</t>
  </si>
  <si>
    <t>P859315</t>
  </si>
  <si>
    <t>M059250</t>
  </si>
  <si>
    <t>5539-100</t>
  </si>
  <si>
    <t>100852-084-STPK</t>
  </si>
  <si>
    <t>B9073B1-001-ND3G-50</t>
  </si>
  <si>
    <t>P859299</t>
  </si>
  <si>
    <t>M059440</t>
  </si>
  <si>
    <t>5555-100</t>
  </si>
  <si>
    <t>CONT-PRT</t>
  </si>
  <si>
    <t>116026-118-STPK</t>
  </si>
  <si>
    <t>31-6527</t>
  </si>
  <si>
    <t>031-6527</t>
  </si>
  <si>
    <t>P859364</t>
  </si>
  <si>
    <t>M059500</t>
  </si>
  <si>
    <t>5588-100</t>
  </si>
  <si>
    <t>116343-118-A027</t>
  </si>
  <si>
    <t>MNB1121E1-001-NT30G-75</t>
  </si>
  <si>
    <t>031-70335</t>
  </si>
  <si>
    <t>P859429</t>
  </si>
  <si>
    <t>M059530</t>
  </si>
  <si>
    <t>5585-100</t>
  </si>
  <si>
    <t>114638-118-A027</t>
  </si>
  <si>
    <t>SMP-FS-C07</t>
  </si>
  <si>
    <t>P859428</t>
  </si>
  <si>
    <t>M059540</t>
  </si>
  <si>
    <t>5584-100</t>
  </si>
  <si>
    <t>P859411</t>
  </si>
  <si>
    <t>M059590</t>
  </si>
  <si>
    <t>5579-100</t>
  </si>
  <si>
    <t>P859408</t>
  </si>
  <si>
    <t>M059610</t>
  </si>
  <si>
    <t>5577-100</t>
  </si>
  <si>
    <t>P859406</t>
  </si>
  <si>
    <t>M059620</t>
  </si>
  <si>
    <t>5576-100</t>
  </si>
  <si>
    <t>117221-132-A027</t>
  </si>
  <si>
    <t>SMP-MSSB-PCS15T</t>
  </si>
  <si>
    <t>P859405</t>
  </si>
  <si>
    <t>M059630</t>
  </si>
  <si>
    <t>5575-100</t>
  </si>
  <si>
    <t>0.8K/C&amp;R</t>
  </si>
  <si>
    <t>102828-118-C022</t>
  </si>
  <si>
    <t>SMA6251A1-015-3GT50G-50</t>
  </si>
  <si>
    <t>P859402</t>
  </si>
  <si>
    <t>M059640</t>
  </si>
  <si>
    <t>5574-100</t>
  </si>
  <si>
    <t>105134-118-A027</t>
  </si>
  <si>
    <t>31-70008</t>
  </si>
  <si>
    <t>031-70008</t>
  </si>
  <si>
    <t>P859306</t>
  </si>
  <si>
    <t>M059700</t>
  </si>
  <si>
    <t>5568-100</t>
  </si>
  <si>
    <t>100029-118-C022</t>
  </si>
  <si>
    <t>B1007A1-NT3G</t>
  </si>
  <si>
    <t>P859505</t>
  </si>
  <si>
    <t>M059750</t>
  </si>
  <si>
    <t>4274-103</t>
  </si>
  <si>
    <t>P856070</t>
  </si>
  <si>
    <t>102062-118-C022</t>
  </si>
  <si>
    <t>MCX1112A1-022-3GT30G-50</t>
  </si>
  <si>
    <t>P859504</t>
  </si>
  <si>
    <t>M059760</t>
  </si>
  <si>
    <t>4274-104</t>
  </si>
  <si>
    <t>P856071</t>
  </si>
  <si>
    <t>119993-031-STPK</t>
  </si>
  <si>
    <t>925-196J-51PT</t>
  </si>
  <si>
    <t>P859498</t>
  </si>
  <si>
    <t>M059820</t>
  </si>
  <si>
    <t>4274-110</t>
  </si>
  <si>
    <t>P856077</t>
  </si>
  <si>
    <t>102601-118-C022</t>
  </si>
  <si>
    <t>SMA1111A6-003-3GT5GP-50</t>
  </si>
  <si>
    <t>P859493</t>
  </si>
  <si>
    <t>M059870</t>
  </si>
  <si>
    <t>4274-115</t>
  </si>
  <si>
    <t>P856082</t>
  </si>
  <si>
    <t>103193-118-C022</t>
  </si>
  <si>
    <t>SMAF-RSMAM2-3GT5GP-50</t>
  </si>
  <si>
    <t>132170RP</t>
  </si>
  <si>
    <t>P859491</t>
  </si>
  <si>
    <t>M059890</t>
  </si>
  <si>
    <t>4274-117</t>
  </si>
  <si>
    <t>P856084</t>
  </si>
  <si>
    <t>102916-118-C022</t>
  </si>
  <si>
    <t>SMA6252D1-3GT5GP-50</t>
  </si>
  <si>
    <t>P859475</t>
  </si>
  <si>
    <t>M059990</t>
  </si>
  <si>
    <t>4274-127</t>
  </si>
  <si>
    <t>P856094</t>
  </si>
  <si>
    <t>P859580</t>
  </si>
  <si>
    <t>M060070</t>
  </si>
  <si>
    <t>5653-100</t>
  </si>
  <si>
    <t>P856713</t>
  </si>
  <si>
    <t>100806-118-A027</t>
  </si>
  <si>
    <t>B7471A1-ND3G-50</t>
  </si>
  <si>
    <t>031-220G-RFX</t>
  </si>
  <si>
    <t>P859574</t>
  </si>
  <si>
    <t>M060130</t>
  </si>
  <si>
    <t>5647-100</t>
  </si>
  <si>
    <t>P856719</t>
  </si>
  <si>
    <t>100344118A027^S</t>
  </si>
  <si>
    <t>B1141C1-ND3G-58U-50SAP</t>
  </si>
  <si>
    <t>031-2-RFX</t>
  </si>
  <si>
    <t>P859569</t>
  </si>
  <si>
    <t>M060180</t>
  </si>
  <si>
    <t>5642-100</t>
  </si>
  <si>
    <t>P856724</t>
  </si>
  <si>
    <t>100018118A027^S</t>
  </si>
  <si>
    <t>B1004B1-ND3G-50R-0.01-1WSAP</t>
  </si>
  <si>
    <t>000-46650-51RFX</t>
  </si>
  <si>
    <t>P859563</t>
  </si>
  <si>
    <t>M060240</t>
  </si>
  <si>
    <t>5636-100</t>
  </si>
  <si>
    <t>P856730</t>
  </si>
  <si>
    <t>P859550</t>
  </si>
  <si>
    <t>M060350</t>
  </si>
  <si>
    <t>5625-100</t>
  </si>
  <si>
    <t>P856741</t>
  </si>
  <si>
    <t>102818-118-C022</t>
  </si>
  <si>
    <t>SMA6181A4-3GT50G-.141-50</t>
  </si>
  <si>
    <t>P859671</t>
  </si>
  <si>
    <t>M060450</t>
  </si>
  <si>
    <t>5723-100</t>
  </si>
  <si>
    <t>P859668</t>
  </si>
  <si>
    <t>M060480</t>
  </si>
  <si>
    <t>5720-100</t>
  </si>
  <si>
    <t>P859661</t>
  </si>
  <si>
    <t>M060550</t>
  </si>
  <si>
    <t>5713-100</t>
  </si>
  <si>
    <t>100227-082-C022</t>
  </si>
  <si>
    <t>B1121EA-002-ND3G-316U-50</t>
  </si>
  <si>
    <t>112132B</t>
  </si>
  <si>
    <t>P859653</t>
  </si>
  <si>
    <t>M060630</t>
  </si>
  <si>
    <t>5705-100</t>
  </si>
  <si>
    <t>BULK</t>
  </si>
  <si>
    <t>100088-018-C022</t>
  </si>
  <si>
    <t>112116B</t>
  </si>
  <si>
    <t>P859649</t>
  </si>
  <si>
    <t>M060670</t>
  </si>
  <si>
    <t>5701-100</t>
  </si>
  <si>
    <t>100/BULK</t>
  </si>
  <si>
    <t>P859648</t>
  </si>
  <si>
    <t>M060680</t>
  </si>
  <si>
    <t>5700-100</t>
  </si>
  <si>
    <t>115201-118-A027</t>
  </si>
  <si>
    <t>34-1107-12G</t>
  </si>
  <si>
    <t>034-1107-12G</t>
  </si>
  <si>
    <t>P859643</t>
  </si>
  <si>
    <t>M060730</t>
  </si>
  <si>
    <t>5695-100</t>
  </si>
  <si>
    <t>104803-118-A027</t>
  </si>
  <si>
    <t>31-2381</t>
  </si>
  <si>
    <t>031-2381</t>
  </si>
  <si>
    <t>P859636</t>
  </si>
  <si>
    <t>M060790</t>
  </si>
  <si>
    <t>5689-100</t>
  </si>
  <si>
    <t>117848-031-STPK</t>
  </si>
  <si>
    <t>SMP-MSLD-PCE-5T</t>
  </si>
  <si>
    <t>P859634</t>
  </si>
  <si>
    <t>M060810</t>
  </si>
  <si>
    <t>5687-100</t>
  </si>
  <si>
    <t>P859626</t>
  </si>
  <si>
    <t>M060880</t>
  </si>
  <si>
    <t>5680-100</t>
  </si>
  <si>
    <t>102992-082-C022</t>
  </si>
  <si>
    <t>SMA6411A2-012-3GT50G-50</t>
  </si>
  <si>
    <t>132119B</t>
  </si>
  <si>
    <t>P859614</t>
  </si>
  <si>
    <t>M060990</t>
  </si>
  <si>
    <t>5669-100</t>
  </si>
  <si>
    <t>105326-118-A027</t>
  </si>
  <si>
    <t>34-5023</t>
  </si>
  <si>
    <t>034-5023</t>
  </si>
  <si>
    <t>P859608</t>
  </si>
  <si>
    <t>M061040</t>
  </si>
  <si>
    <t>5665-200</t>
  </si>
  <si>
    <t>105252-118-A027</t>
  </si>
  <si>
    <t>034-1030-12G</t>
  </si>
  <si>
    <t>P859607</t>
  </si>
  <si>
    <t>M061060</t>
  </si>
  <si>
    <t>5664-100</t>
  </si>
  <si>
    <t>102543-118-C022</t>
  </si>
  <si>
    <t>SMA1005A2-001-3G</t>
  </si>
  <si>
    <t>P859754</t>
  </si>
  <si>
    <t>M061370</t>
  </si>
  <si>
    <t>5789-100</t>
  </si>
  <si>
    <t>P859725</t>
  </si>
  <si>
    <t>M061610</t>
  </si>
  <si>
    <t>5765-100</t>
  </si>
  <si>
    <t>106929-118-A027</t>
  </si>
  <si>
    <t>901-10107</t>
  </si>
  <si>
    <t>P859721</t>
  </si>
  <si>
    <t>M061640</t>
  </si>
  <si>
    <t>5762-100</t>
  </si>
  <si>
    <t>102264-135-A027</t>
  </si>
  <si>
    <t>MMCX6251N1-3GT30G-50</t>
  </si>
  <si>
    <t>908-22106</t>
  </si>
  <si>
    <t>P859708</t>
  </si>
  <si>
    <t>M061740</t>
  </si>
  <si>
    <t>5752-100</t>
  </si>
  <si>
    <t>101447-131-L059</t>
  </si>
  <si>
    <t>N6121A2-AT30GA-9913-50</t>
  </si>
  <si>
    <t>P859700</t>
  </si>
  <si>
    <t>M061800</t>
  </si>
  <si>
    <t>5746-100</t>
  </si>
  <si>
    <t>N25/TRAY</t>
  </si>
  <si>
    <t>P859692</t>
  </si>
  <si>
    <t>M061870</t>
  </si>
  <si>
    <t>5739-100</t>
  </si>
  <si>
    <t>100392118A027^S</t>
  </si>
  <si>
    <t>B2071A2-ND3G-50SAP</t>
  </si>
  <si>
    <t>031-218-RFX</t>
  </si>
  <si>
    <t>P859691</t>
  </si>
  <si>
    <t>M061880</t>
  </si>
  <si>
    <t>5738-100</t>
  </si>
  <si>
    <t>100601-054-C022</t>
  </si>
  <si>
    <t>B6321A2-003-NT3G-75</t>
  </si>
  <si>
    <t>112654B</t>
  </si>
  <si>
    <t>P859613</t>
  </si>
  <si>
    <t>M061910</t>
  </si>
  <si>
    <t>5735-100</t>
  </si>
  <si>
    <t>50/BULK</t>
  </si>
  <si>
    <t>114693-118-A027</t>
  </si>
  <si>
    <t>SMP-MSSB-PCT-1</t>
  </si>
  <si>
    <t>P859561</t>
  </si>
  <si>
    <t>M061940</t>
  </si>
  <si>
    <t>5732-100</t>
  </si>
  <si>
    <t>102806-118-C022</t>
  </si>
  <si>
    <t>SMA6111A1-009-3GT5GP-50</t>
  </si>
  <si>
    <t>P859805</t>
  </si>
  <si>
    <t>M062180</t>
  </si>
  <si>
    <t>4650-116</t>
  </si>
  <si>
    <t>102750-062-C022</t>
  </si>
  <si>
    <t>112586-NT30G</t>
  </si>
  <si>
    <t>P859867</t>
  </si>
  <si>
    <t>M062420</t>
  </si>
  <si>
    <t>5815-100</t>
  </si>
  <si>
    <t>80/TRAY</t>
  </si>
  <si>
    <t>100989-118-C022</t>
  </si>
  <si>
    <t>T1121AA-ND3G-223U-50</t>
  </si>
  <si>
    <t>P860140</t>
  </si>
  <si>
    <t>M063420</t>
  </si>
  <si>
    <t>5933-100</t>
  </si>
  <si>
    <t>P860290</t>
  </si>
  <si>
    <t>M063790</t>
  </si>
  <si>
    <t>5984-100</t>
  </si>
  <si>
    <t>P860702</t>
  </si>
  <si>
    <t>M066890</t>
  </si>
  <si>
    <t>6202-100</t>
  </si>
  <si>
    <t>103579-118-C022</t>
  </si>
  <si>
    <t>SMC6181A1-3GT30G-.085-50</t>
  </si>
  <si>
    <t>P857322</t>
  </si>
  <si>
    <t>M070450</t>
  </si>
  <si>
    <t>4741-100</t>
  </si>
  <si>
    <t>PLD2604160002</t>
  </si>
  <si>
    <t>102837-118-C022</t>
  </si>
  <si>
    <t>SMA6251A2-3GT50G-50</t>
  </si>
  <si>
    <t>132134-10</t>
  </si>
  <si>
    <t>PO385750</t>
  </si>
  <si>
    <t>M068910</t>
  </si>
  <si>
    <t>6416-500</t>
  </si>
  <si>
    <t>102887-118-C022</t>
  </si>
  <si>
    <t>P858043</t>
  </si>
  <si>
    <t xml:space="preserve">lỗi xi mạ- đã bù liệu </t>
  </si>
  <si>
    <t>5069-100</t>
  </si>
  <si>
    <t>P855085</t>
  </si>
  <si>
    <t>102937-118-C022</t>
  </si>
  <si>
    <t>SMA6252A9-009-3GT50G-50</t>
  </si>
  <si>
    <t>132203-18</t>
  </si>
  <si>
    <t>P858707</t>
  </si>
  <si>
    <t>M056290</t>
  </si>
  <si>
    <t>5382-100</t>
  </si>
  <si>
    <t>ưu tiên 1</t>
  </si>
  <si>
    <t xml:space="preserve">chờ liệu về </t>
  </si>
  <si>
    <t>101655-118-C022</t>
  </si>
  <si>
    <t>N9073A1-AT5GP-50</t>
  </si>
  <si>
    <t>P859120</t>
  </si>
  <si>
    <t>M058580</t>
  </si>
  <si>
    <t>5460-100</t>
  </si>
  <si>
    <t>123067-118-A027</t>
  </si>
  <si>
    <t>901-10709</t>
  </si>
  <si>
    <t>P858990</t>
  </si>
  <si>
    <t>M058770</t>
  </si>
  <si>
    <t>5441-100</t>
  </si>
  <si>
    <t>102950-118-C022</t>
  </si>
  <si>
    <t>SMA6351B1-3GT50G-50</t>
  </si>
  <si>
    <t>P859618</t>
  </si>
  <si>
    <t>M060960</t>
  </si>
  <si>
    <t>5672-100</t>
  </si>
  <si>
    <t>Khuôn delay</t>
  </si>
  <si>
    <t>108052-032-A027</t>
  </si>
  <si>
    <t>925-144J-51PT</t>
  </si>
  <si>
    <t>P076972</t>
  </si>
  <si>
    <t>M062460</t>
  </si>
  <si>
    <t>MRO</t>
  </si>
  <si>
    <t>5838-100</t>
  </si>
  <si>
    <t>2.2K/C&amp;R</t>
  </si>
  <si>
    <t>108048-118-A027</t>
  </si>
  <si>
    <t>925-141A-51S</t>
  </si>
  <si>
    <t>M062470</t>
  </si>
  <si>
    <t>5838-200</t>
  </si>
  <si>
    <t>102722-118-C022</t>
  </si>
  <si>
    <t>SMA2071A1-3GT50G-50</t>
  </si>
  <si>
    <t>P857719</t>
  </si>
  <si>
    <t>M070380</t>
  </si>
  <si>
    <t>4965-100</t>
  </si>
  <si>
    <t>P857685</t>
  </si>
  <si>
    <t>M070470</t>
  </si>
  <si>
    <t>KH cần full đơn (đã đủ liệu)</t>
  </si>
  <si>
    <t>4957-100</t>
  </si>
  <si>
    <t>PLD2603190002</t>
  </si>
  <si>
    <t>106252-054-C022</t>
  </si>
  <si>
    <t>RSMA6421A1-001-3GT50G-50</t>
  </si>
  <si>
    <t>132119RPB</t>
  </si>
  <si>
    <t>P858703</t>
  </si>
  <si>
    <t>M070480</t>
  </si>
  <si>
    <t>5379-100</t>
  </si>
  <si>
    <t>P856310</t>
  </si>
  <si>
    <t>M070430</t>
  </si>
  <si>
    <t>4366-100</t>
  </si>
  <si>
    <t>PLD2603050001</t>
  </si>
  <si>
    <t>104776-118-A027</t>
  </si>
  <si>
    <t>31-220H</t>
  </si>
  <si>
    <t>031-220H</t>
  </si>
  <si>
    <t>P858747</t>
  </si>
  <si>
    <t>M072930</t>
  </si>
  <si>
    <t>5314-100</t>
  </si>
  <si>
    <t>P858446</t>
  </si>
  <si>
    <t>M072900</t>
  </si>
  <si>
    <t>5201-100</t>
  </si>
  <si>
    <t>PLD2604160001</t>
  </si>
  <si>
    <t>PO387226</t>
  </si>
  <si>
    <t>M071260</t>
  </si>
  <si>
    <t>6583-300</t>
  </si>
  <si>
    <t>PO387098</t>
  </si>
  <si>
    <t>M071360</t>
  </si>
  <si>
    <t>6577-100</t>
  </si>
  <si>
    <t>108057-118-A027</t>
  </si>
  <si>
    <t>925-157J-51S</t>
  </si>
  <si>
    <t>PO386599</t>
  </si>
  <si>
    <t>M071440</t>
  </si>
  <si>
    <t>6569-100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</si>
</sst>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(* #,##0.000_);_(* \(#,##0.000\);_(* &quot;-&quot;??_);_(@_)"/>
    <numFmt numFmtId="165" formatCode="_(* #,##0_);_(* \(#,##0\);_(* &quot;-&quot;??_);_(@_)"/>
    <numFmt numFmtId="166" formatCode="0.0000"/>
    <numFmt numFmtId="167" formatCode="0.000"/>
    <numFmt numFmtId="168" formatCode="yy/mm/dd;@"/>
    <numFmt numFmtId="169" formatCode="0.0"/>
    <numFmt numFmtId="170" formatCode="_(* #,##0.0000_);_(* \(#,##0.0000\);_(* &quot;-&quot;??_);_(@_)"/>
    <numFmt numFmtId="171" formatCode="_(* #,##0.00000_);_(* \(#,##0.00000\);_(* &quot;-&quot;??_);_(@_)"/>
    <numFmt numFmtId="172" formatCode="mm/dd/yyyy"/>
    <numFmt numFmtId="173" formatCode="_(* #,##0.000_);_(* \(#,##0.000\);_(* &quot;-&quot;???_);_(@_)"/>
    <numFmt numFmtId="174" formatCode="yyyy/mm/dd;@"/>
    <numFmt numFmtId="175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Tahoma"/>
      <family val="2"/>
    </font>
    <font>
      <sz val="11"/>
      <color theme="1"/>
      <name val="Times New Roman"/>
      <family val="1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5">
    <xf numFmtId="0" fontId="0" fillId="0" borderId="0" xfId="0"/>
    <xf numFmtId="14" fontId="0" fillId="0" borderId="0" xfId="0" applyNumberFormat="1"/>
    <xf numFmtId="0" fontId="3" fillId="0" borderId="0" xfId="0" applyFont="1"/>
    <xf numFmtId="2" fontId="0" fillId="0" borderId="0" xfId="0" applyNumberFormat="1"/>
    <xf numFmtId="14" fontId="0" fillId="0" borderId="0" xfId="0" applyNumberFormat="1" applyAlignment="1">
      <alignment horizontal="left"/>
    </xf>
    <xf numFmtId="164" fontId="0" fillId="0" borderId="0" xfId="1" applyNumberFormat="1" applyFont="1"/>
    <xf numFmtId="165" fontId="0" fillId="0" borderId="0" xfId="1" applyNumberFormat="1" applyFont="1"/>
    <xf numFmtId="165" fontId="0" fillId="0" borderId="0" xfId="1" applyNumberFormat="1" applyFont="1" applyAlignment="1">
      <alignment horizontal="right"/>
    </xf>
    <xf numFmtId="43" fontId="0" fillId="0" borderId="0" xfId="1" applyFont="1"/>
    <xf numFmtId="166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43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left"/>
    </xf>
    <xf numFmtId="0" fontId="4" fillId="0" borderId="0" xfId="0" applyFont="1"/>
    <xf numFmtId="169" fontId="0" fillId="0" borderId="0" xfId="0" applyNumberFormat="1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170" fontId="0" fillId="3" borderId="0" xfId="1" applyNumberFormat="1" applyFont="1" applyFill="1" applyAlignment="1">
      <alignment horizontal="center" vertical="center" wrapText="1"/>
    </xf>
    <xf numFmtId="165" fontId="0" fillId="4" borderId="0" xfId="1" applyNumberFormat="1" applyFont="1" applyFill="1" applyAlignment="1">
      <alignment horizontal="center" vertical="center" wrapText="1"/>
    </xf>
    <xf numFmtId="171" fontId="0" fillId="3" borderId="0" xfId="1" applyNumberFormat="1" applyFont="1" applyFill="1" applyAlignment="1">
      <alignment horizontal="center" vertical="center" wrapText="1"/>
    </xf>
    <xf numFmtId="43" fontId="0" fillId="4" borderId="0" xfId="1" applyFont="1" applyFill="1" applyAlignment="1">
      <alignment horizontal="center" vertical="center" wrapText="1"/>
    </xf>
    <xf numFmtId="164" fontId="0" fillId="4" borderId="0" xfId="1" applyNumberFormat="1" applyFont="1" applyFill="1" applyAlignment="1">
      <alignment horizontal="center" vertical="center" wrapText="1"/>
    </xf>
    <xf numFmtId="170" fontId="0" fillId="4" borderId="0" xfId="1" applyNumberFormat="1" applyFont="1" applyFill="1" applyAlignment="1">
      <alignment horizontal="center" vertical="center" wrapText="1"/>
    </xf>
    <xf numFmtId="14" fontId="0" fillId="3" borderId="0" xfId="1" applyNumberFormat="1" applyFont="1" applyFill="1" applyAlignment="1">
      <alignment horizontal="center" vertical="center" wrapText="1"/>
    </xf>
    <xf numFmtId="14" fontId="0" fillId="5" borderId="0" xfId="0" applyNumberForma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170" fontId="0" fillId="3" borderId="0" xfId="1" applyNumberFormat="1" applyFont="1" applyFill="1" applyAlignment="1">
      <alignment horizontal="left" vertical="center" wrapText="1"/>
    </xf>
    <xf numFmtId="170" fontId="0" fillId="4" borderId="0" xfId="1" applyNumberFormat="1" applyFont="1" applyFill="1" applyAlignment="1">
      <alignment horizontal="left" vertical="center" wrapText="1"/>
    </xf>
    <xf numFmtId="168" fontId="0" fillId="3" borderId="0" xfId="1" applyNumberFormat="1" applyFont="1" applyFill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" fontId="0" fillId="0" borderId="0" xfId="0" applyNumberFormat="1"/>
    <xf numFmtId="165" fontId="0" fillId="0" borderId="0" xfId="1" applyNumberFormat="1" applyFont="1" applyFill="1"/>
    <xf numFmtId="170" fontId="0" fillId="0" borderId="0" xfId="1" applyNumberFormat="1" applyFont="1" applyAlignment="1">
      <alignment horizontal="center"/>
    </xf>
    <xf numFmtId="43" fontId="0" fillId="0" borderId="0" xfId="1" applyFont="1" applyFill="1" applyAlignment="1">
      <alignment horizontal="center"/>
    </xf>
    <xf numFmtId="164" fontId="0" fillId="0" borderId="0" xfId="1" applyNumberFormat="1" applyFont="1" applyFill="1" applyAlignment="1">
      <alignment horizontal="center"/>
    </xf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16" fontId="0" fillId="0" borderId="0" xfId="0" quotePrefix="1" applyNumberFormat="1" applyAlignment="1">
      <alignment horizontal="center"/>
    </xf>
    <xf numFmtId="2" fontId="0" fillId="0" borderId="0" xfId="0" quotePrefix="1" applyNumberFormat="1" applyAlignment="1">
      <alignment horizontal="center"/>
    </xf>
    <xf numFmtId="172" fontId="0" fillId="0" borderId="0" xfId="0" applyNumberFormat="1"/>
    <xf numFmtId="43" fontId="0" fillId="0" borderId="0" xfId="0" applyNumberFormat="1"/>
    <xf numFmtId="173" fontId="0" fillId="0" borderId="0" xfId="0" applyNumberFormat="1"/>
    <xf numFmtId="0" fontId="0" fillId="4" borderId="0" xfId="0" applyFill="1"/>
    <xf numFmtId="0" fontId="5" fillId="0" borderId="0" xfId="0" applyFont="1"/>
    <xf numFmtId="14" fontId="0" fillId="2" borderId="0" xfId="0" applyNumberForma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 vertical="top"/>
    </xf>
    <xf numFmtId="19" fontId="0" fillId="0" borderId="0" xfId="0" applyNumberFormat="1"/>
    <xf numFmtId="14" fontId="0" fillId="7" borderId="0" xfId="0" applyNumberFormat="1" applyFill="1" applyAlignment="1">
      <alignment horizontal="right"/>
    </xf>
    <xf numFmtId="174" fontId="0" fillId="0" borderId="0" xfId="0" applyNumberFormat="1"/>
    <xf numFmtId="0" fontId="0" fillId="0" borderId="0" xfId="1" applyNumberFormat="1" applyFont="1"/>
    <xf numFmtId="175" fontId="0" fillId="0" borderId="0" xfId="1" applyNumberFormat="1" applyFont="1"/>
    <xf numFmtId="164" fontId="0" fillId="0" borderId="0" xfId="1" applyNumberFormat="1" applyFont="1" applyAlignment="1">
      <alignment horizontal="right"/>
    </xf>
    <xf numFmtId="174" fontId="0" fillId="8" borderId="0" xfId="0" applyNumberFormat="1" applyFill="1"/>
    <xf numFmtId="171" fontId="0" fillId="0" borderId="0" xfId="1" applyNumberFormat="1" applyFont="1" applyAlignment="1">
      <alignment horizontal="right"/>
    </xf>
    <xf numFmtId="43" fontId="0" fillId="0" borderId="0" xfId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1" fontId="2" fillId="0" borderId="0" xfId="0" applyNumberFormat="1" applyFont="1"/>
    <xf numFmtId="0" fontId="8" fillId="0" borderId="0" xfId="0" applyFont="1"/>
    <xf numFmtId="14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164" fontId="8" fillId="0" borderId="1" xfId="1" applyNumberFormat="1" applyFont="1" applyBorder="1" applyAlignment="1">
      <alignment horizontal="center" vertical="center" wrapText="1"/>
    </xf>
    <xf numFmtId="170" fontId="8" fillId="3" borderId="1" xfId="1" applyNumberFormat="1" applyFont="1" applyFill="1" applyBorder="1" applyAlignment="1">
      <alignment horizontal="center" vertical="center" wrapText="1"/>
    </xf>
    <xf numFmtId="165" fontId="8" fillId="4" borderId="1" xfId="1" applyNumberFormat="1" applyFont="1" applyFill="1" applyBorder="1" applyAlignment="1">
      <alignment horizontal="center" vertical="center" wrapText="1"/>
    </xf>
    <xf numFmtId="171" fontId="8" fillId="3" borderId="1" xfId="1" applyNumberFormat="1" applyFont="1" applyFill="1" applyBorder="1" applyAlignment="1">
      <alignment horizontal="center" vertical="center" wrapText="1"/>
    </xf>
    <xf numFmtId="43" fontId="8" fillId="4" borderId="1" xfId="1" applyFont="1" applyFill="1" applyBorder="1" applyAlignment="1">
      <alignment horizontal="center" vertical="center" wrapText="1"/>
    </xf>
    <xf numFmtId="164" fontId="8" fillId="4" borderId="1" xfId="1" applyNumberFormat="1" applyFont="1" applyFill="1" applyBorder="1" applyAlignment="1">
      <alignment horizontal="center" vertical="center" wrapText="1"/>
    </xf>
    <xf numFmtId="170" fontId="8" fillId="4" borderId="1" xfId="1" applyNumberFormat="1" applyFont="1" applyFill="1" applyBorder="1" applyAlignment="1">
      <alignment horizontal="center" vertical="center" wrapText="1"/>
    </xf>
    <xf numFmtId="14" fontId="8" fillId="3" borderId="1" xfId="1" applyNumberFormat="1" applyFont="1" applyFill="1" applyBorder="1" applyAlignment="1">
      <alignment horizontal="center" vertical="center" wrapText="1"/>
    </xf>
    <xf numFmtId="14" fontId="8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165" fontId="0" fillId="4" borderId="0" xfId="1" applyNumberFormat="1" applyFont="1" applyFill="1" applyAlignment="1">
      <alignment horizontal="center"/>
    </xf>
    <xf numFmtId="14" fontId="0" fillId="9" borderId="0" xfId="0" applyNumberFormat="1" applyFill="1" applyAlignment="1">
      <alignment horizontal="right"/>
    </xf>
    <xf numFmtId="14" fontId="0" fillId="4" borderId="0" xfId="0" applyNumberFormat="1" applyFill="1"/>
    <xf numFmtId="174" fontId="0" fillId="0" borderId="0" xfId="0" applyNumberFormat="1" applyAlignment="1">
      <alignment horizontal="center"/>
    </xf>
    <xf numFmtId="174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43" fontId="8" fillId="0" borderId="0" xfId="0" applyNumberFormat="1" applyFont="1" applyAlignment="1">
      <alignment horizontal="center" vertical="center"/>
    </xf>
    <xf numFmtId="165" fontId="8" fillId="7" borderId="0" xfId="1" applyNumberFormat="1" applyFont="1" applyFill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168" fontId="8" fillId="3" borderId="1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6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26251-17B9-45CA-9382-5117F5B6B67E}">
  <dimension ref="A1:BI85"/>
  <sheetViews>
    <sheetView workbookViewId="0">
      <selection activeCell="G13" sqref="G13"/>
    </sheetView>
  </sheetViews>
  <sheetFormatPr defaultRowHeight="15" x14ac:dyDescent="0.25"/>
  <cols>
    <col min="1" max="1" width="12.140625" customWidth="1"/>
    <col min="9" max="9" width="10.5703125" customWidth="1"/>
    <col min="10" max="10" width="10.85546875" customWidth="1"/>
    <col min="15" max="15" width="10.5703125" customWidth="1"/>
    <col min="22" max="30" width="10.5703125" customWidth="1"/>
  </cols>
  <sheetData>
    <row r="1" spans="1:61" ht="15.75" x14ac:dyDescent="0.25">
      <c r="A1" s="1"/>
      <c r="B1" s="2"/>
      <c r="E1" t="s">
        <v>0</v>
      </c>
      <c r="I1" s="1"/>
      <c r="J1" s="3">
        <v>2341776</v>
      </c>
      <c r="K1" s="4"/>
      <c r="N1" s="5"/>
      <c r="O1" s="3">
        <v>338674.16000000003</v>
      </c>
      <c r="Q1" s="6">
        <v>151923.94999999998</v>
      </c>
      <c r="R1" s="7">
        <v>136731.55499999999</v>
      </c>
      <c r="S1" s="8">
        <v>3153.3258099999985</v>
      </c>
      <c r="T1" s="6"/>
      <c r="U1" s="5"/>
      <c r="V1" s="9"/>
      <c r="W1" s="10"/>
      <c r="X1" s="11"/>
      <c r="Y1" s="12"/>
      <c r="Z1" s="12"/>
      <c r="AA1" s="13"/>
      <c r="AB1" s="14"/>
      <c r="AC1" s="1"/>
      <c r="AD1" s="1"/>
      <c r="AO1" s="3"/>
      <c r="AP1" s="10"/>
      <c r="AQ1" s="10"/>
      <c r="AR1" s="15"/>
      <c r="BD1" s="16"/>
      <c r="BE1" s="17"/>
    </row>
    <row r="2" spans="1:61" ht="75" x14ac:dyDescent="0.25">
      <c r="A2" s="18" t="s">
        <v>1</v>
      </c>
      <c r="B2" s="19" t="s">
        <v>2</v>
      </c>
      <c r="C2" s="20" t="s">
        <v>3</v>
      </c>
      <c r="D2" s="20" t="s">
        <v>4</v>
      </c>
      <c r="E2" s="19" t="s">
        <v>5</v>
      </c>
      <c r="F2" s="19" t="s">
        <v>6</v>
      </c>
      <c r="G2" s="19" t="s">
        <v>555</v>
      </c>
      <c r="H2" s="19" t="s">
        <v>550</v>
      </c>
      <c r="I2" s="19" t="s">
        <v>7</v>
      </c>
      <c r="J2" s="19" t="s">
        <v>8</v>
      </c>
      <c r="K2" s="21" t="s">
        <v>9</v>
      </c>
      <c r="L2" s="22" t="s">
        <v>10</v>
      </c>
      <c r="M2" s="22" t="s">
        <v>11</v>
      </c>
      <c r="N2" s="23" t="s">
        <v>12</v>
      </c>
      <c r="O2" s="19" t="s">
        <v>13</v>
      </c>
      <c r="P2" s="24" t="s">
        <v>14</v>
      </c>
      <c r="Q2" s="25" t="s">
        <v>15</v>
      </c>
      <c r="R2" s="26" t="s">
        <v>16</v>
      </c>
      <c r="S2" s="27" t="s">
        <v>17</v>
      </c>
      <c r="T2" s="25" t="s">
        <v>18</v>
      </c>
      <c r="U2" s="28" t="s">
        <v>19</v>
      </c>
      <c r="V2" s="24" t="s">
        <v>20</v>
      </c>
      <c r="W2" s="24" t="s">
        <v>21</v>
      </c>
      <c r="X2" s="29" t="s">
        <v>22</v>
      </c>
      <c r="Y2" s="30" t="s">
        <v>23</v>
      </c>
      <c r="Z2" s="30" t="s">
        <v>24</v>
      </c>
      <c r="AA2" s="24" t="s">
        <v>25</v>
      </c>
      <c r="AB2" s="24" t="s">
        <v>26</v>
      </c>
      <c r="AC2" s="31" t="s">
        <v>27</v>
      </c>
      <c r="AD2" s="31" t="s">
        <v>28</v>
      </c>
      <c r="AE2" s="32" t="s">
        <v>29</v>
      </c>
      <c r="AF2" s="32" t="s">
        <v>30</v>
      </c>
      <c r="AG2" s="32" t="s">
        <v>31</v>
      </c>
      <c r="AH2" s="33" t="s">
        <v>32</v>
      </c>
      <c r="AI2" s="33" t="s">
        <v>33</v>
      </c>
      <c r="AJ2" s="33" t="s">
        <v>34</v>
      </c>
      <c r="AK2" s="33" t="s">
        <v>35</v>
      </c>
      <c r="AL2" s="19" t="s">
        <v>36</v>
      </c>
      <c r="AM2" s="34" t="s">
        <v>37</v>
      </c>
      <c r="AN2" s="34" t="s">
        <v>35</v>
      </c>
      <c r="AO2" s="35" t="s">
        <v>38</v>
      </c>
      <c r="AP2" s="36" t="s">
        <v>39</v>
      </c>
      <c r="AQ2" s="35" t="s">
        <v>40</v>
      </c>
      <c r="AR2" s="37" t="s">
        <v>41</v>
      </c>
      <c r="AS2" s="19" t="s">
        <v>42</v>
      </c>
      <c r="AT2" s="19" t="s">
        <v>43</v>
      </c>
      <c r="AU2" s="19" t="s">
        <v>44</v>
      </c>
      <c r="AV2" s="19" t="s">
        <v>45</v>
      </c>
      <c r="AW2" s="19" t="s">
        <v>46</v>
      </c>
      <c r="AX2" s="19" t="s">
        <v>47</v>
      </c>
      <c r="AY2" s="19" t="s">
        <v>48</v>
      </c>
      <c r="AZ2" s="19" t="s">
        <v>49</v>
      </c>
      <c r="BA2" s="19" t="s">
        <v>50</v>
      </c>
      <c r="BB2" s="19" t="s">
        <v>51</v>
      </c>
      <c r="BC2" s="19" t="s">
        <v>52</v>
      </c>
      <c r="BD2" s="38" t="s">
        <v>53</v>
      </c>
      <c r="BE2" s="24" t="s">
        <v>54</v>
      </c>
      <c r="BF2" s="24" t="s">
        <v>55</v>
      </c>
      <c r="BG2" s="24" t="s">
        <v>56</v>
      </c>
      <c r="BH2" s="24" t="s">
        <v>57</v>
      </c>
      <c r="BI2" s="24" t="s">
        <v>58</v>
      </c>
    </row>
    <row r="3" spans="1:61" x14ac:dyDescent="0.25">
      <c r="A3" s="1">
        <v>46076</v>
      </c>
      <c r="B3" t="s">
        <v>59</v>
      </c>
      <c r="C3" t="s">
        <v>60</v>
      </c>
      <c r="D3" s="10" t="s">
        <v>60</v>
      </c>
      <c r="E3" t="s">
        <v>61</v>
      </c>
      <c r="F3" t="s">
        <v>62</v>
      </c>
      <c r="G3" s="67" t="s">
        <v>554</v>
      </c>
      <c r="H3" s="10" t="s">
        <v>551</v>
      </c>
      <c r="I3" t="s">
        <v>63</v>
      </c>
      <c r="J3">
        <v>500</v>
      </c>
      <c r="K3" s="4" t="s">
        <v>64</v>
      </c>
      <c r="L3" s="40">
        <v>0</v>
      </c>
      <c r="M3" s="40">
        <v>500</v>
      </c>
      <c r="N3" s="5">
        <v>0.74299999999999999</v>
      </c>
      <c r="O3">
        <v>371.5</v>
      </c>
      <c r="P3" t="s">
        <v>65</v>
      </c>
      <c r="Q3" s="6">
        <v>2622.8</v>
      </c>
      <c r="R3" s="41">
        <v>1.0149999999999999E-2</v>
      </c>
      <c r="S3" s="42">
        <v>5.0749999999999993</v>
      </c>
      <c r="T3" s="42">
        <v>350</v>
      </c>
      <c r="U3" s="43">
        <v>0.17857142857142858</v>
      </c>
      <c r="V3" s="44">
        <v>46108</v>
      </c>
      <c r="W3" s="45">
        <v>46123</v>
      </c>
      <c r="X3" s="46" t="s">
        <v>66</v>
      </c>
      <c r="Y3" s="44">
        <v>46154</v>
      </c>
      <c r="Z3" s="44">
        <v>46157</v>
      </c>
      <c r="AA3" s="46" t="s">
        <v>66</v>
      </c>
      <c r="AB3" s="47">
        <v>34</v>
      </c>
      <c r="AC3" s="1">
        <v>46157</v>
      </c>
      <c r="AD3" s="1">
        <v>46157</v>
      </c>
      <c r="AE3" s="3" t="s">
        <v>67</v>
      </c>
      <c r="AF3" s="3" t="s">
        <v>68</v>
      </c>
      <c r="AG3" s="3" t="s">
        <v>68</v>
      </c>
      <c r="AH3" s="3">
        <v>21.5</v>
      </c>
      <c r="AI3" s="3">
        <v>11.571428571428571</v>
      </c>
      <c r="AK3" s="3" t="s">
        <v>69</v>
      </c>
      <c r="AL3" t="s">
        <v>70</v>
      </c>
      <c r="AM3" t="s">
        <v>71</v>
      </c>
      <c r="AN3" t="s">
        <v>72</v>
      </c>
      <c r="AO3" t="s">
        <v>62</v>
      </c>
      <c r="AP3" s="10"/>
      <c r="AQ3" s="1">
        <v>46104</v>
      </c>
      <c r="AR3" s="48" t="e">
        <v>#N/A</v>
      </c>
      <c r="AS3">
        <v>5407</v>
      </c>
      <c r="AT3">
        <v>100</v>
      </c>
      <c r="AU3" t="s">
        <v>73</v>
      </c>
      <c r="AV3">
        <v>0.5</v>
      </c>
      <c r="AW3">
        <v>2.57</v>
      </c>
      <c r="AX3">
        <v>1000</v>
      </c>
      <c r="AY3">
        <v>38</v>
      </c>
      <c r="AZ3">
        <v>29.5</v>
      </c>
      <c r="BA3">
        <v>19.5</v>
      </c>
      <c r="BB3">
        <v>1</v>
      </c>
      <c r="BC3" s="3" t="s">
        <v>61</v>
      </c>
      <c r="BD3" t="s">
        <v>74</v>
      </c>
      <c r="BE3" t="s">
        <v>75</v>
      </c>
      <c r="BF3" s="49" t="e">
        <v>#N/A</v>
      </c>
      <c r="BG3" s="50" t="s">
        <v>75</v>
      </c>
      <c r="BH3" s="50" t="s">
        <v>75</v>
      </c>
      <c r="BI3" s="50" t="s">
        <v>75</v>
      </c>
    </row>
    <row r="4" spans="1:61" x14ac:dyDescent="0.25">
      <c r="A4" s="1">
        <v>46076</v>
      </c>
      <c r="B4" t="s">
        <v>76</v>
      </c>
      <c r="C4" t="s">
        <v>77</v>
      </c>
      <c r="D4" s="10">
        <v>172243</v>
      </c>
      <c r="E4" t="s">
        <v>78</v>
      </c>
      <c r="F4" t="s">
        <v>62</v>
      </c>
      <c r="G4" s="39"/>
      <c r="H4" s="10" t="s">
        <v>551</v>
      </c>
      <c r="I4" t="s">
        <v>79</v>
      </c>
      <c r="J4">
        <v>2000</v>
      </c>
      <c r="K4" s="4" t="s">
        <v>64</v>
      </c>
      <c r="L4" s="40">
        <v>0</v>
      </c>
      <c r="M4" s="40">
        <v>2000</v>
      </c>
      <c r="N4" s="5">
        <v>3.1509999999999998</v>
      </c>
      <c r="O4">
        <v>6302</v>
      </c>
      <c r="P4" t="s">
        <v>65</v>
      </c>
      <c r="Q4" s="6"/>
      <c r="R4" s="41">
        <v>9.4999999999999998E-3</v>
      </c>
      <c r="S4" s="42">
        <v>19</v>
      </c>
      <c r="T4" s="42">
        <v>450</v>
      </c>
      <c r="U4" s="43">
        <v>0.55555555555555558</v>
      </c>
      <c r="V4" s="44">
        <v>46121</v>
      </c>
      <c r="W4" s="45">
        <v>46136</v>
      </c>
      <c r="X4" s="46" t="s">
        <v>66</v>
      </c>
      <c r="Y4" s="44">
        <v>46154</v>
      </c>
      <c r="Z4" s="44">
        <v>46157</v>
      </c>
      <c r="AA4" s="46" t="s">
        <v>66</v>
      </c>
      <c r="AB4" s="47">
        <v>21</v>
      </c>
      <c r="AC4" s="1">
        <v>46116</v>
      </c>
      <c r="AD4" s="1">
        <v>46164</v>
      </c>
      <c r="AE4" s="3" t="s">
        <v>67</v>
      </c>
      <c r="AF4" s="3" t="s">
        <v>68</v>
      </c>
      <c r="AG4" s="3" t="s">
        <v>69</v>
      </c>
      <c r="AH4" s="3">
        <v>21.5</v>
      </c>
      <c r="AI4" s="3">
        <v>11.571428571428571</v>
      </c>
      <c r="AK4" s="3" t="s">
        <v>69</v>
      </c>
      <c r="AL4" t="s">
        <v>80</v>
      </c>
      <c r="AN4" t="s">
        <v>72</v>
      </c>
      <c r="AO4" t="s">
        <v>62</v>
      </c>
      <c r="AP4" s="10"/>
      <c r="AQ4" s="1">
        <v>46104</v>
      </c>
      <c r="AR4" s="48" t="e">
        <v>#N/A</v>
      </c>
      <c r="AS4">
        <v>5390</v>
      </c>
      <c r="AT4">
        <v>100</v>
      </c>
      <c r="AU4" t="s">
        <v>81</v>
      </c>
      <c r="AV4">
        <v>39.799999999999997</v>
      </c>
      <c r="AW4">
        <v>18.47</v>
      </c>
      <c r="AX4">
        <v>400</v>
      </c>
      <c r="AY4">
        <v>30</v>
      </c>
      <c r="AZ4">
        <v>23</v>
      </c>
      <c r="BA4">
        <v>31</v>
      </c>
      <c r="BB4">
        <v>5</v>
      </c>
      <c r="BC4" s="3" t="s">
        <v>78</v>
      </c>
      <c r="BD4" t="s">
        <v>82</v>
      </c>
      <c r="BE4" t="s">
        <v>75</v>
      </c>
      <c r="BF4" s="49" t="e">
        <v>#N/A</v>
      </c>
      <c r="BG4" s="50" t="s">
        <v>75</v>
      </c>
      <c r="BH4" s="50" t="s">
        <v>75</v>
      </c>
      <c r="BI4" s="50" t="s">
        <v>75</v>
      </c>
    </row>
    <row r="5" spans="1:61" x14ac:dyDescent="0.25">
      <c r="A5" s="1">
        <v>46076</v>
      </c>
      <c r="B5" t="s">
        <v>83</v>
      </c>
      <c r="C5" t="s">
        <v>84</v>
      </c>
      <c r="D5" s="10">
        <v>112587</v>
      </c>
      <c r="E5" t="s">
        <v>85</v>
      </c>
      <c r="F5" t="s">
        <v>62</v>
      </c>
      <c r="G5" s="39"/>
      <c r="H5" s="10" t="s">
        <v>551</v>
      </c>
      <c r="I5" t="s">
        <v>86</v>
      </c>
      <c r="J5">
        <v>2000</v>
      </c>
      <c r="K5" s="4" t="s">
        <v>64</v>
      </c>
      <c r="L5" s="40">
        <v>0</v>
      </c>
      <c r="M5" s="40">
        <v>2000</v>
      </c>
      <c r="N5" s="5">
        <v>1.175</v>
      </c>
      <c r="O5">
        <v>2350</v>
      </c>
      <c r="P5" t="s">
        <v>65</v>
      </c>
      <c r="Q5" s="6"/>
      <c r="R5" s="41">
        <v>9.8099999999999993E-3</v>
      </c>
      <c r="S5" s="42">
        <v>19.619999999999997</v>
      </c>
      <c r="T5" s="42">
        <v>400</v>
      </c>
      <c r="U5" s="43">
        <v>0.625</v>
      </c>
      <c r="V5" s="44">
        <v>46108</v>
      </c>
      <c r="W5" s="45">
        <v>46123</v>
      </c>
      <c r="X5" s="46" t="s">
        <v>66</v>
      </c>
      <c r="Y5" s="44">
        <v>46154</v>
      </c>
      <c r="Z5" s="44">
        <v>46157</v>
      </c>
      <c r="AA5" s="46" t="s">
        <v>66</v>
      </c>
      <c r="AB5" s="47">
        <v>34</v>
      </c>
      <c r="AC5" s="1">
        <v>46157</v>
      </c>
      <c r="AD5" s="1">
        <v>46157</v>
      </c>
      <c r="AE5" s="3" t="s">
        <v>67</v>
      </c>
      <c r="AF5" s="3" t="s">
        <v>68</v>
      </c>
      <c r="AG5" s="3" t="s">
        <v>68</v>
      </c>
      <c r="AH5" s="3">
        <v>21.5</v>
      </c>
      <c r="AI5" s="3">
        <v>11.571428571428571</v>
      </c>
      <c r="AK5" s="3" t="s">
        <v>69</v>
      </c>
      <c r="AL5" t="s">
        <v>70</v>
      </c>
      <c r="AM5" t="s">
        <v>71</v>
      </c>
      <c r="AN5" t="s">
        <v>72</v>
      </c>
      <c r="AO5" t="s">
        <v>62</v>
      </c>
      <c r="AP5" s="10"/>
      <c r="AQ5" s="1">
        <v>46104</v>
      </c>
      <c r="AR5" s="48" t="e">
        <v>#N/A</v>
      </c>
      <c r="AS5">
        <v>5375</v>
      </c>
      <c r="AT5">
        <v>100</v>
      </c>
      <c r="AU5" t="s">
        <v>87</v>
      </c>
      <c r="AV5">
        <v>10.324999999999999</v>
      </c>
      <c r="AW5">
        <v>10.24</v>
      </c>
      <c r="AX5">
        <v>800</v>
      </c>
      <c r="AY5">
        <v>38</v>
      </c>
      <c r="AZ5">
        <v>29.5</v>
      </c>
      <c r="BA5">
        <v>19.5</v>
      </c>
      <c r="BB5">
        <v>3</v>
      </c>
      <c r="BC5" s="3" t="s">
        <v>85</v>
      </c>
      <c r="BD5" t="s">
        <v>74</v>
      </c>
      <c r="BE5" t="s">
        <v>75</v>
      </c>
      <c r="BF5" s="49" t="e">
        <v>#N/A</v>
      </c>
      <c r="BG5" s="50" t="s">
        <v>75</v>
      </c>
      <c r="BH5" s="50" t="s">
        <v>75</v>
      </c>
      <c r="BI5" s="50" t="s">
        <v>75</v>
      </c>
    </row>
    <row r="6" spans="1:61" x14ac:dyDescent="0.25">
      <c r="A6" s="1">
        <v>46076</v>
      </c>
      <c r="B6" t="s">
        <v>88</v>
      </c>
      <c r="C6" t="s">
        <v>89</v>
      </c>
      <c r="D6" s="10" t="s">
        <v>90</v>
      </c>
      <c r="E6" t="s">
        <v>91</v>
      </c>
      <c r="F6" t="s">
        <v>62</v>
      </c>
      <c r="G6" s="67" t="s">
        <v>554</v>
      </c>
      <c r="H6" s="10" t="s">
        <v>551</v>
      </c>
      <c r="I6" t="s">
        <v>92</v>
      </c>
      <c r="J6">
        <v>1000</v>
      </c>
      <c r="K6" s="4" t="s">
        <v>64</v>
      </c>
      <c r="L6" s="40">
        <v>0</v>
      </c>
      <c r="M6" s="40">
        <v>1000</v>
      </c>
      <c r="N6" s="5">
        <v>2.645</v>
      </c>
      <c r="O6">
        <v>2645</v>
      </c>
      <c r="P6" t="s">
        <v>65</v>
      </c>
      <c r="Q6" s="6">
        <v>434.5</v>
      </c>
      <c r="R6" s="41">
        <v>1.8030000000000001E-2</v>
      </c>
      <c r="S6" s="42">
        <v>18.03</v>
      </c>
      <c r="T6" s="42">
        <v>350</v>
      </c>
      <c r="U6" s="43">
        <v>0.35714285714285715</v>
      </c>
      <c r="V6" s="44">
        <v>46105</v>
      </c>
      <c r="W6" s="45">
        <v>46120</v>
      </c>
      <c r="X6" s="46" t="s">
        <v>66</v>
      </c>
      <c r="Y6" s="44">
        <v>46154</v>
      </c>
      <c r="Z6" s="44">
        <v>46157</v>
      </c>
      <c r="AA6" s="46" t="s">
        <v>66</v>
      </c>
      <c r="AB6" s="47">
        <v>37</v>
      </c>
      <c r="AC6" s="1">
        <v>46157</v>
      </c>
      <c r="AD6" s="1">
        <v>46157</v>
      </c>
      <c r="AE6" s="3" t="s">
        <v>67</v>
      </c>
      <c r="AF6" s="3" t="s">
        <v>68</v>
      </c>
      <c r="AG6" s="3" t="s">
        <v>68</v>
      </c>
      <c r="AH6" s="3">
        <v>21.5</v>
      </c>
      <c r="AI6" s="3">
        <v>11.571428571428571</v>
      </c>
      <c r="AK6" s="3" t="s">
        <v>69</v>
      </c>
      <c r="AL6" t="s">
        <v>70</v>
      </c>
      <c r="AM6" t="s">
        <v>71</v>
      </c>
      <c r="AN6" t="s">
        <v>72</v>
      </c>
      <c r="AO6" t="s">
        <v>62</v>
      </c>
      <c r="AP6" s="10"/>
      <c r="AQ6" s="1">
        <v>46104</v>
      </c>
      <c r="AR6" s="48" t="e">
        <v>#N/A</v>
      </c>
      <c r="AS6">
        <v>5371</v>
      </c>
      <c r="AT6">
        <v>100</v>
      </c>
      <c r="AU6" t="s">
        <v>93</v>
      </c>
      <c r="AV6">
        <v>60.8</v>
      </c>
      <c r="AW6">
        <v>20.010000000000002</v>
      </c>
      <c r="AX6">
        <v>300</v>
      </c>
      <c r="AY6">
        <v>36</v>
      </c>
      <c r="AZ6">
        <v>34</v>
      </c>
      <c r="BA6">
        <v>24.5</v>
      </c>
      <c r="BB6">
        <v>4</v>
      </c>
      <c r="BC6" s="3" t="s">
        <v>91</v>
      </c>
      <c r="BD6" t="s">
        <v>74</v>
      </c>
      <c r="BE6" t="s">
        <v>75</v>
      </c>
      <c r="BF6" s="49" t="e">
        <v>#N/A</v>
      </c>
      <c r="BG6" s="50" t="s">
        <v>75</v>
      </c>
      <c r="BH6" s="50" t="s">
        <v>75</v>
      </c>
      <c r="BI6" s="50" t="s">
        <v>75</v>
      </c>
    </row>
    <row r="7" spans="1:61" x14ac:dyDescent="0.25">
      <c r="A7" s="1">
        <v>46076</v>
      </c>
      <c r="B7" t="s">
        <v>94</v>
      </c>
      <c r="C7" t="s">
        <v>95</v>
      </c>
      <c r="D7" s="10" t="s">
        <v>96</v>
      </c>
      <c r="E7" t="s">
        <v>97</v>
      </c>
      <c r="F7" t="s">
        <v>62</v>
      </c>
      <c r="G7" s="67" t="s">
        <v>554</v>
      </c>
      <c r="H7" s="10" t="s">
        <v>551</v>
      </c>
      <c r="I7" t="s">
        <v>98</v>
      </c>
      <c r="J7">
        <v>1000</v>
      </c>
      <c r="K7" s="4" t="s">
        <v>64</v>
      </c>
      <c r="L7" s="40">
        <v>0</v>
      </c>
      <c r="M7" s="40">
        <v>1000</v>
      </c>
      <c r="N7" s="5">
        <v>2.7810000000000001</v>
      </c>
      <c r="O7">
        <v>2781</v>
      </c>
      <c r="P7" t="s">
        <v>65</v>
      </c>
      <c r="Q7" s="6">
        <v>4347</v>
      </c>
      <c r="R7" s="41">
        <v>1.6060000000000001E-2</v>
      </c>
      <c r="S7" s="42">
        <v>16.060000000000002</v>
      </c>
      <c r="T7" s="42">
        <v>200</v>
      </c>
      <c r="U7" s="43">
        <v>0.625</v>
      </c>
      <c r="V7" s="44">
        <v>46121</v>
      </c>
      <c r="W7" s="45">
        <v>46136</v>
      </c>
      <c r="X7" s="46" t="s">
        <v>66</v>
      </c>
      <c r="Y7" s="44">
        <v>46154</v>
      </c>
      <c r="Z7" s="44">
        <v>46157</v>
      </c>
      <c r="AA7" s="46" t="s">
        <v>66</v>
      </c>
      <c r="AB7" s="47">
        <v>21</v>
      </c>
      <c r="AC7" s="1">
        <v>46157</v>
      </c>
      <c r="AD7" s="1">
        <v>46164</v>
      </c>
      <c r="AE7" s="3" t="s">
        <v>67</v>
      </c>
      <c r="AF7" s="3" t="s">
        <v>68</v>
      </c>
      <c r="AG7" s="3" t="s">
        <v>68</v>
      </c>
      <c r="AH7" s="3">
        <v>21.5</v>
      </c>
      <c r="AI7" s="3">
        <v>11.571428571428571</v>
      </c>
      <c r="AK7" s="3" t="s">
        <v>69</v>
      </c>
      <c r="AL7" t="s">
        <v>70</v>
      </c>
      <c r="AM7" t="s">
        <v>71</v>
      </c>
      <c r="AN7" t="s">
        <v>72</v>
      </c>
      <c r="AO7" t="s">
        <v>62</v>
      </c>
      <c r="AP7" s="10"/>
      <c r="AQ7" s="1">
        <v>46104</v>
      </c>
      <c r="AR7" s="48" t="e">
        <v>#N/A</v>
      </c>
      <c r="AS7">
        <v>5367</v>
      </c>
      <c r="AT7">
        <v>100</v>
      </c>
      <c r="AU7" t="s">
        <v>99</v>
      </c>
      <c r="AV7">
        <v>21.19</v>
      </c>
      <c r="AW7">
        <v>12.54</v>
      </c>
      <c r="AX7">
        <v>500</v>
      </c>
      <c r="AY7">
        <v>36</v>
      </c>
      <c r="AZ7">
        <v>34</v>
      </c>
      <c r="BA7">
        <v>24.5</v>
      </c>
      <c r="BB7">
        <v>2</v>
      </c>
      <c r="BC7" s="3" t="s">
        <v>97</v>
      </c>
      <c r="BD7" t="s">
        <v>74</v>
      </c>
      <c r="BE7" t="s">
        <v>100</v>
      </c>
      <c r="BF7" s="49" t="e">
        <v>#N/A</v>
      </c>
      <c r="BG7" s="50" t="s">
        <v>75</v>
      </c>
      <c r="BH7" s="50" t="s">
        <v>75</v>
      </c>
      <c r="BI7" s="50" t="s">
        <v>75</v>
      </c>
    </row>
    <row r="8" spans="1:61" x14ac:dyDescent="0.25">
      <c r="A8" s="1">
        <v>46076</v>
      </c>
      <c r="B8" t="s">
        <v>101</v>
      </c>
      <c r="C8" t="s">
        <v>102</v>
      </c>
      <c r="D8" s="10">
        <v>132193</v>
      </c>
      <c r="E8" t="s">
        <v>103</v>
      </c>
      <c r="F8" t="s">
        <v>62</v>
      </c>
      <c r="G8" s="39"/>
      <c r="H8" s="10" t="s">
        <v>551</v>
      </c>
      <c r="I8" t="s">
        <v>104</v>
      </c>
      <c r="J8">
        <v>2000</v>
      </c>
      <c r="K8" s="4" t="s">
        <v>64</v>
      </c>
      <c r="L8" s="40">
        <v>0</v>
      </c>
      <c r="M8" s="40">
        <v>2000</v>
      </c>
      <c r="N8" s="5">
        <v>1.67</v>
      </c>
      <c r="O8">
        <v>3340</v>
      </c>
      <c r="P8" t="s">
        <v>65</v>
      </c>
      <c r="Q8" s="6"/>
      <c r="R8" s="41">
        <v>1.231E-2</v>
      </c>
      <c r="S8" s="42">
        <v>24.62</v>
      </c>
      <c r="T8" s="42">
        <v>500</v>
      </c>
      <c r="U8" s="43">
        <v>0.5</v>
      </c>
      <c r="V8" s="44">
        <v>46120</v>
      </c>
      <c r="W8" s="45">
        <v>46135</v>
      </c>
      <c r="X8" s="46" t="s">
        <v>66</v>
      </c>
      <c r="Y8" s="44">
        <v>46154</v>
      </c>
      <c r="Z8" s="44">
        <v>46157</v>
      </c>
      <c r="AA8" s="46" t="s">
        <v>66</v>
      </c>
      <c r="AB8" s="47">
        <v>22</v>
      </c>
      <c r="AC8" s="1">
        <v>46129</v>
      </c>
      <c r="AD8" s="1">
        <v>46164</v>
      </c>
      <c r="AE8" s="3" t="s">
        <v>67</v>
      </c>
      <c r="AF8" s="3" t="s">
        <v>68</v>
      </c>
      <c r="AG8" s="3" t="s">
        <v>69</v>
      </c>
      <c r="AH8" s="3">
        <v>21.5</v>
      </c>
      <c r="AI8" s="3">
        <v>11.571428571428571</v>
      </c>
      <c r="AK8" s="3" t="s">
        <v>69</v>
      </c>
      <c r="AL8" t="s">
        <v>80</v>
      </c>
      <c r="AN8" t="s">
        <v>72</v>
      </c>
      <c r="AO8" t="s">
        <v>62</v>
      </c>
      <c r="AP8" s="10"/>
      <c r="AQ8" s="1">
        <v>46104</v>
      </c>
      <c r="AR8" s="48" t="e">
        <v>#N/A</v>
      </c>
      <c r="AS8">
        <v>5356</v>
      </c>
      <c r="AT8">
        <v>100</v>
      </c>
      <c r="AU8" t="s">
        <v>105</v>
      </c>
      <c r="AV8">
        <v>5.62</v>
      </c>
      <c r="AW8">
        <v>7.92</v>
      </c>
      <c r="AX8">
        <v>1000</v>
      </c>
      <c r="AY8">
        <v>38</v>
      </c>
      <c r="AZ8">
        <v>29.5</v>
      </c>
      <c r="BA8">
        <v>19.5</v>
      </c>
      <c r="BB8">
        <v>2</v>
      </c>
      <c r="BC8" s="3" t="s">
        <v>103</v>
      </c>
      <c r="BD8" s="16" t="s">
        <v>74</v>
      </c>
      <c r="BE8" t="s">
        <v>75</v>
      </c>
      <c r="BF8" s="49" t="e">
        <v>#N/A</v>
      </c>
      <c r="BG8" s="50" t="s">
        <v>75</v>
      </c>
      <c r="BH8" s="50" t="s">
        <v>75</v>
      </c>
      <c r="BI8" s="50" t="s">
        <v>75</v>
      </c>
    </row>
    <row r="9" spans="1:61" x14ac:dyDescent="0.25">
      <c r="A9" s="1">
        <v>46076</v>
      </c>
      <c r="B9" t="s">
        <v>106</v>
      </c>
      <c r="C9" t="s">
        <v>107</v>
      </c>
      <c r="D9" s="10">
        <v>132111</v>
      </c>
      <c r="E9" t="s">
        <v>108</v>
      </c>
      <c r="F9" t="s">
        <v>62</v>
      </c>
      <c r="G9" s="39"/>
      <c r="H9" s="10" t="s">
        <v>551</v>
      </c>
      <c r="I9" t="s">
        <v>109</v>
      </c>
      <c r="J9">
        <v>2000</v>
      </c>
      <c r="K9" s="4" t="s">
        <v>64</v>
      </c>
      <c r="L9" s="40">
        <v>0</v>
      </c>
      <c r="M9" s="40">
        <v>2000</v>
      </c>
      <c r="N9" s="5">
        <v>1.8520000000000001</v>
      </c>
      <c r="O9">
        <v>3704</v>
      </c>
      <c r="P9" t="s">
        <v>65</v>
      </c>
      <c r="Q9" s="6"/>
      <c r="R9" s="41">
        <v>9.1299999999999992E-3</v>
      </c>
      <c r="S9" s="42">
        <v>18.259999999999998</v>
      </c>
      <c r="T9" s="42">
        <v>400</v>
      </c>
      <c r="U9" s="43">
        <v>0.625</v>
      </c>
      <c r="V9" s="44">
        <v>46120</v>
      </c>
      <c r="W9" s="45">
        <v>46135</v>
      </c>
      <c r="X9" s="46" t="s">
        <v>66</v>
      </c>
      <c r="Y9" s="44">
        <v>46154</v>
      </c>
      <c r="Z9" s="44">
        <v>46157</v>
      </c>
      <c r="AA9" s="46" t="s">
        <v>66</v>
      </c>
      <c r="AB9" s="47">
        <v>22</v>
      </c>
      <c r="AC9" s="1">
        <v>46164</v>
      </c>
      <c r="AD9" s="1">
        <v>46164</v>
      </c>
      <c r="AE9" s="3" t="s">
        <v>67</v>
      </c>
      <c r="AF9" s="3" t="s">
        <v>68</v>
      </c>
      <c r="AG9" s="3" t="s">
        <v>68</v>
      </c>
      <c r="AH9" s="3">
        <v>21.5</v>
      </c>
      <c r="AI9" s="3">
        <v>11.571428571428571</v>
      </c>
      <c r="AK9" s="3" t="s">
        <v>69</v>
      </c>
      <c r="AL9" t="s">
        <v>70</v>
      </c>
      <c r="AN9" t="s">
        <v>72</v>
      </c>
      <c r="AO9" t="s">
        <v>62</v>
      </c>
      <c r="AP9" s="10"/>
      <c r="AQ9" s="1">
        <v>46104</v>
      </c>
      <c r="AR9" s="48" t="e">
        <v>#N/A</v>
      </c>
      <c r="AS9">
        <v>5351</v>
      </c>
      <c r="AT9">
        <v>100</v>
      </c>
      <c r="AU9" t="s">
        <v>110</v>
      </c>
      <c r="AV9">
        <v>5.26</v>
      </c>
      <c r="AW9">
        <v>7.62</v>
      </c>
      <c r="AX9">
        <v>1000</v>
      </c>
      <c r="AY9">
        <v>38</v>
      </c>
      <c r="AZ9">
        <v>29.5</v>
      </c>
      <c r="BA9">
        <v>19.5</v>
      </c>
      <c r="BB9">
        <v>2</v>
      </c>
      <c r="BC9" s="3" t="s">
        <v>108</v>
      </c>
      <c r="BD9" s="16" t="s">
        <v>74</v>
      </c>
      <c r="BE9" t="s">
        <v>75</v>
      </c>
      <c r="BF9" s="49" t="e">
        <v>#N/A</v>
      </c>
      <c r="BG9" s="50" t="s">
        <v>75</v>
      </c>
      <c r="BH9" s="50" t="s">
        <v>75</v>
      </c>
      <c r="BI9" s="50" t="s">
        <v>75</v>
      </c>
    </row>
    <row r="10" spans="1:61" x14ac:dyDescent="0.25">
      <c r="A10" s="1">
        <v>46076</v>
      </c>
      <c r="B10" t="s">
        <v>111</v>
      </c>
      <c r="C10" t="s">
        <v>112</v>
      </c>
      <c r="D10" s="10" t="s">
        <v>113</v>
      </c>
      <c r="E10" t="s">
        <v>114</v>
      </c>
      <c r="F10" t="s">
        <v>62</v>
      </c>
      <c r="G10" s="39"/>
      <c r="H10" s="10" t="s">
        <v>551</v>
      </c>
      <c r="I10" t="s">
        <v>115</v>
      </c>
      <c r="J10">
        <v>3100</v>
      </c>
      <c r="K10" s="4" t="s">
        <v>64</v>
      </c>
      <c r="L10" s="40">
        <v>0</v>
      </c>
      <c r="M10" s="40">
        <v>3100</v>
      </c>
      <c r="N10" s="5">
        <v>1.056</v>
      </c>
      <c r="O10">
        <v>3273.6</v>
      </c>
      <c r="P10" t="s">
        <v>65</v>
      </c>
      <c r="Q10" s="6"/>
      <c r="R10" s="41">
        <v>1.204E-2</v>
      </c>
      <c r="S10" s="42">
        <v>37.323999999999998</v>
      </c>
      <c r="T10" s="42">
        <v>480</v>
      </c>
      <c r="U10" s="43">
        <v>0.80729166666666663</v>
      </c>
      <c r="V10" s="44">
        <v>46120</v>
      </c>
      <c r="W10" s="45">
        <v>46135</v>
      </c>
      <c r="X10" s="46" t="s">
        <v>66</v>
      </c>
      <c r="Y10" s="44">
        <v>46154</v>
      </c>
      <c r="Z10" s="44">
        <v>46157</v>
      </c>
      <c r="AA10" s="46" t="s">
        <v>66</v>
      </c>
      <c r="AB10" s="47">
        <v>22</v>
      </c>
      <c r="AC10" s="1">
        <v>46164</v>
      </c>
      <c r="AD10" s="1">
        <v>46164</v>
      </c>
      <c r="AE10" s="3" t="s">
        <v>67</v>
      </c>
      <c r="AF10" s="3" t="s">
        <v>68</v>
      </c>
      <c r="AG10" s="3" t="s">
        <v>68</v>
      </c>
      <c r="AH10" s="3">
        <v>21.5</v>
      </c>
      <c r="AI10" s="3">
        <v>11.571428571428571</v>
      </c>
      <c r="AK10" s="3" t="s">
        <v>69</v>
      </c>
      <c r="AL10" t="s">
        <v>70</v>
      </c>
      <c r="AN10" t="s">
        <v>72</v>
      </c>
      <c r="AO10" t="s">
        <v>62</v>
      </c>
      <c r="AP10" s="10"/>
      <c r="AQ10" s="1">
        <v>46104</v>
      </c>
      <c r="AR10" s="48" t="e">
        <v>#N/A</v>
      </c>
      <c r="AS10">
        <v>5345</v>
      </c>
      <c r="AT10">
        <v>100</v>
      </c>
      <c r="AU10" t="s">
        <v>116</v>
      </c>
      <c r="AV10">
        <v>12.99</v>
      </c>
      <c r="AW10">
        <v>13.03</v>
      </c>
      <c r="AX10">
        <v>800</v>
      </c>
      <c r="AY10">
        <v>36</v>
      </c>
      <c r="AZ10">
        <v>34</v>
      </c>
      <c r="BA10">
        <v>24.5</v>
      </c>
      <c r="BB10">
        <v>4</v>
      </c>
      <c r="BC10" s="3" t="s">
        <v>114</v>
      </c>
      <c r="BD10" s="16" t="s">
        <v>74</v>
      </c>
      <c r="BE10" t="s">
        <v>75</v>
      </c>
      <c r="BF10" s="49" t="e">
        <v>#N/A</v>
      </c>
      <c r="BG10" s="50" t="s">
        <v>75</v>
      </c>
      <c r="BH10" s="50" t="s">
        <v>75</v>
      </c>
      <c r="BI10" s="50" t="s">
        <v>75</v>
      </c>
    </row>
    <row r="11" spans="1:61" x14ac:dyDescent="0.25">
      <c r="A11" s="1">
        <v>46076</v>
      </c>
      <c r="B11" t="s">
        <v>117</v>
      </c>
      <c r="C11" t="s">
        <v>118</v>
      </c>
      <c r="D11" s="10">
        <v>112533</v>
      </c>
      <c r="E11" t="s">
        <v>119</v>
      </c>
      <c r="F11" t="s">
        <v>62</v>
      </c>
      <c r="G11" s="39"/>
      <c r="H11" s="10" t="s">
        <v>551</v>
      </c>
      <c r="I11" t="s">
        <v>120</v>
      </c>
      <c r="J11">
        <v>2000</v>
      </c>
      <c r="K11" s="4" t="s">
        <v>64</v>
      </c>
      <c r="L11" s="40">
        <v>0</v>
      </c>
      <c r="M11" s="40">
        <v>2000</v>
      </c>
      <c r="N11" s="5">
        <v>0.84199999999999997</v>
      </c>
      <c r="O11">
        <v>1684</v>
      </c>
      <c r="P11" t="s">
        <v>65</v>
      </c>
      <c r="Q11" s="6"/>
      <c r="R11" s="41">
        <v>1.391E-2</v>
      </c>
      <c r="S11" s="42">
        <v>27.82</v>
      </c>
      <c r="T11" s="42">
        <v>500</v>
      </c>
      <c r="U11" s="43">
        <v>0.5</v>
      </c>
      <c r="V11" s="44">
        <v>46120</v>
      </c>
      <c r="W11" s="45">
        <v>46135</v>
      </c>
      <c r="X11" s="46" t="s">
        <v>66</v>
      </c>
      <c r="Y11" s="44">
        <v>46154</v>
      </c>
      <c r="Z11" s="44">
        <v>46157</v>
      </c>
      <c r="AA11" s="46" t="s">
        <v>66</v>
      </c>
      <c r="AB11" s="47">
        <v>22</v>
      </c>
      <c r="AC11" s="1">
        <v>46164</v>
      </c>
      <c r="AD11" s="1">
        <v>46164</v>
      </c>
      <c r="AE11" s="3">
        <v>0</v>
      </c>
      <c r="AF11" s="3" t="s">
        <v>68</v>
      </c>
      <c r="AG11" s="3" t="s">
        <v>68</v>
      </c>
      <c r="AH11" s="3">
        <v>21.5</v>
      </c>
      <c r="AI11" s="3">
        <v>11.571428571428571</v>
      </c>
      <c r="AK11" s="3" t="s">
        <v>69</v>
      </c>
      <c r="AL11" t="s">
        <v>70</v>
      </c>
      <c r="AN11" t="s">
        <v>72</v>
      </c>
      <c r="AO11" t="s">
        <v>62</v>
      </c>
      <c r="AP11" s="10"/>
      <c r="AQ11" s="1">
        <v>46104</v>
      </c>
      <c r="AR11" s="48" t="e">
        <v>#N/A</v>
      </c>
      <c r="AS11">
        <v>5343</v>
      </c>
      <c r="AT11">
        <v>100</v>
      </c>
      <c r="AU11" t="s">
        <v>121</v>
      </c>
      <c r="AV11">
        <v>10.01</v>
      </c>
      <c r="AW11">
        <v>8.8699999999999992</v>
      </c>
      <c r="AX11">
        <v>700</v>
      </c>
      <c r="AY11">
        <v>36</v>
      </c>
      <c r="AZ11">
        <v>34</v>
      </c>
      <c r="BA11">
        <v>24.5</v>
      </c>
      <c r="BB11">
        <v>3</v>
      </c>
      <c r="BC11" s="3" t="s">
        <v>119</v>
      </c>
      <c r="BD11" s="16" t="s">
        <v>74</v>
      </c>
      <c r="BE11" t="s">
        <v>75</v>
      </c>
      <c r="BF11" s="49" t="e">
        <v>#N/A</v>
      </c>
      <c r="BG11" s="50" t="s">
        <v>75</v>
      </c>
      <c r="BH11" s="50" t="s">
        <v>75</v>
      </c>
      <c r="BI11" s="50" t="s">
        <v>75</v>
      </c>
    </row>
    <row r="12" spans="1:61" x14ac:dyDescent="0.25">
      <c r="A12" s="1">
        <v>46076</v>
      </c>
      <c r="B12" t="s">
        <v>122</v>
      </c>
      <c r="C12" t="s">
        <v>123</v>
      </c>
      <c r="D12" s="10">
        <v>112431</v>
      </c>
      <c r="E12" t="s">
        <v>124</v>
      </c>
      <c r="F12" t="s">
        <v>62</v>
      </c>
      <c r="G12" s="39"/>
      <c r="H12" s="10" t="s">
        <v>551</v>
      </c>
      <c r="I12" t="s">
        <v>125</v>
      </c>
      <c r="J12">
        <v>500</v>
      </c>
      <c r="K12" s="4" t="s">
        <v>64</v>
      </c>
      <c r="L12" s="40">
        <v>0</v>
      </c>
      <c r="M12" s="40">
        <v>500</v>
      </c>
      <c r="N12" s="5">
        <v>1.024</v>
      </c>
      <c r="O12">
        <v>512</v>
      </c>
      <c r="P12" t="s">
        <v>65</v>
      </c>
      <c r="Q12" s="6"/>
      <c r="R12" s="41">
        <v>5.1399999999999996E-3</v>
      </c>
      <c r="S12" s="42">
        <v>2.57</v>
      </c>
      <c r="T12" s="42">
        <v>500</v>
      </c>
      <c r="U12" s="43">
        <v>0.125</v>
      </c>
      <c r="V12" s="44">
        <v>46108</v>
      </c>
      <c r="W12" s="45">
        <v>46123</v>
      </c>
      <c r="X12" s="46" t="s">
        <v>66</v>
      </c>
      <c r="Y12" s="44">
        <v>46154</v>
      </c>
      <c r="Z12" s="44">
        <v>46157</v>
      </c>
      <c r="AA12" s="46" t="s">
        <v>66</v>
      </c>
      <c r="AB12" s="47">
        <v>34</v>
      </c>
      <c r="AC12" s="1">
        <v>46116</v>
      </c>
      <c r="AD12" s="1">
        <v>46157</v>
      </c>
      <c r="AE12" s="3" t="s">
        <v>67</v>
      </c>
      <c r="AF12" s="3" t="s">
        <v>68</v>
      </c>
      <c r="AG12" s="3" t="s">
        <v>69</v>
      </c>
      <c r="AH12" s="3">
        <v>21.5</v>
      </c>
      <c r="AI12" s="3">
        <v>11.571428571428571</v>
      </c>
      <c r="AK12" s="3" t="s">
        <v>69</v>
      </c>
      <c r="AL12" t="s">
        <v>80</v>
      </c>
      <c r="AN12" t="s">
        <v>72</v>
      </c>
      <c r="AO12" t="s">
        <v>62</v>
      </c>
      <c r="AP12" s="10"/>
      <c r="AQ12" s="1">
        <v>46104</v>
      </c>
      <c r="AR12" s="48" t="e">
        <v>#N/A</v>
      </c>
      <c r="AS12">
        <v>5340</v>
      </c>
      <c r="AT12">
        <v>100</v>
      </c>
      <c r="AU12" t="s">
        <v>126</v>
      </c>
      <c r="AV12">
        <v>7.32</v>
      </c>
      <c r="AW12">
        <v>7.7</v>
      </c>
      <c r="AX12">
        <v>800</v>
      </c>
      <c r="AY12">
        <v>38</v>
      </c>
      <c r="AZ12">
        <v>29.5</v>
      </c>
      <c r="BA12">
        <v>19.5</v>
      </c>
      <c r="BB12">
        <v>1</v>
      </c>
      <c r="BC12" s="3" t="s">
        <v>124</v>
      </c>
      <c r="BD12" s="16" t="s">
        <v>74</v>
      </c>
      <c r="BE12" t="s">
        <v>75</v>
      </c>
      <c r="BF12" s="49" t="e">
        <v>#N/A</v>
      </c>
      <c r="BG12" s="50" t="s">
        <v>75</v>
      </c>
      <c r="BH12" s="50" t="s">
        <v>75</v>
      </c>
      <c r="BI12" s="50" t="s">
        <v>75</v>
      </c>
    </row>
    <row r="13" spans="1:61" x14ac:dyDescent="0.25">
      <c r="A13" s="1">
        <v>46076</v>
      </c>
      <c r="B13" t="s">
        <v>127</v>
      </c>
      <c r="C13" t="s">
        <v>128</v>
      </c>
      <c r="D13" s="10" t="s">
        <v>129</v>
      </c>
      <c r="E13" t="s">
        <v>130</v>
      </c>
      <c r="F13" t="s">
        <v>62</v>
      </c>
      <c r="G13" s="39"/>
      <c r="H13" s="10" t="s">
        <v>551</v>
      </c>
      <c r="I13" t="s">
        <v>131</v>
      </c>
      <c r="J13">
        <v>1000</v>
      </c>
      <c r="K13" s="4" t="s">
        <v>64</v>
      </c>
      <c r="L13" s="40">
        <v>0</v>
      </c>
      <c r="M13" s="40">
        <v>1000</v>
      </c>
      <c r="N13" s="5">
        <v>2.798</v>
      </c>
      <c r="O13">
        <v>2798</v>
      </c>
      <c r="P13" t="s">
        <v>65</v>
      </c>
      <c r="Q13" s="6"/>
      <c r="R13" s="41">
        <v>7.4999999999999997E-3</v>
      </c>
      <c r="S13" s="42">
        <v>7.5</v>
      </c>
      <c r="T13" s="42">
        <v>500</v>
      </c>
      <c r="U13" s="43">
        <v>0.25</v>
      </c>
      <c r="V13" s="44">
        <v>46121</v>
      </c>
      <c r="W13" s="45">
        <v>46136</v>
      </c>
      <c r="X13" s="46" t="s">
        <v>66</v>
      </c>
      <c r="Y13" s="44">
        <v>46154</v>
      </c>
      <c r="Z13" s="44">
        <v>46157</v>
      </c>
      <c r="AA13" s="46" t="s">
        <v>66</v>
      </c>
      <c r="AB13" s="47">
        <v>21</v>
      </c>
      <c r="AC13" s="1">
        <v>46116</v>
      </c>
      <c r="AD13" s="1">
        <v>46157</v>
      </c>
      <c r="AE13" s="3" t="s">
        <v>67</v>
      </c>
      <c r="AF13" s="3" t="s">
        <v>68</v>
      </c>
      <c r="AG13" s="3" t="s">
        <v>69</v>
      </c>
      <c r="AH13" s="3">
        <v>21.5</v>
      </c>
      <c r="AI13" s="3">
        <v>11.571428571428571</v>
      </c>
      <c r="AK13" s="3" t="s">
        <v>69</v>
      </c>
      <c r="AL13" t="s">
        <v>80</v>
      </c>
      <c r="AN13" t="s">
        <v>72</v>
      </c>
      <c r="AO13" t="s">
        <v>62</v>
      </c>
      <c r="AP13" s="52" t="s">
        <v>132</v>
      </c>
      <c r="AQ13" s="1">
        <v>46104</v>
      </c>
      <c r="AR13" s="48" t="e">
        <v>#N/A</v>
      </c>
      <c r="AS13">
        <v>5319</v>
      </c>
      <c r="AT13">
        <v>100</v>
      </c>
      <c r="AU13" t="s">
        <v>133</v>
      </c>
      <c r="AV13">
        <v>18.13</v>
      </c>
      <c r="AW13">
        <v>14.36</v>
      </c>
      <c r="AX13">
        <v>700</v>
      </c>
      <c r="AY13">
        <v>38</v>
      </c>
      <c r="AZ13">
        <v>29.5</v>
      </c>
      <c r="BA13">
        <v>19.5</v>
      </c>
      <c r="BB13">
        <v>2</v>
      </c>
      <c r="BC13" s="3" t="s">
        <v>130</v>
      </c>
      <c r="BD13" s="16" t="s">
        <v>74</v>
      </c>
      <c r="BE13" t="s">
        <v>75</v>
      </c>
      <c r="BF13" s="49" t="e">
        <v>#N/A</v>
      </c>
      <c r="BG13" s="50" t="s">
        <v>75</v>
      </c>
      <c r="BH13" s="50" t="s">
        <v>128</v>
      </c>
      <c r="BI13" s="50" t="s">
        <v>75</v>
      </c>
    </row>
    <row r="14" spans="1:61" x14ac:dyDescent="0.25">
      <c r="A14" s="1">
        <v>46076</v>
      </c>
      <c r="B14" t="s">
        <v>134</v>
      </c>
      <c r="C14" t="s">
        <v>135</v>
      </c>
      <c r="D14" s="10" t="s">
        <v>136</v>
      </c>
      <c r="E14" t="s">
        <v>137</v>
      </c>
      <c r="F14" t="s">
        <v>62</v>
      </c>
      <c r="G14" s="39"/>
      <c r="H14" s="10" t="s">
        <v>551</v>
      </c>
      <c r="I14" t="s">
        <v>138</v>
      </c>
      <c r="J14">
        <v>1500</v>
      </c>
      <c r="K14" s="4" t="s">
        <v>64</v>
      </c>
      <c r="L14" s="40">
        <v>0</v>
      </c>
      <c r="M14" s="40">
        <v>1500</v>
      </c>
      <c r="N14" s="5">
        <v>1.25</v>
      </c>
      <c r="O14">
        <v>1875</v>
      </c>
      <c r="P14" t="s">
        <v>65</v>
      </c>
      <c r="Q14" s="6"/>
      <c r="R14" s="41">
        <v>1.183E-2</v>
      </c>
      <c r="S14" s="42">
        <v>17.745000000000001</v>
      </c>
      <c r="T14" s="42">
        <v>400</v>
      </c>
      <c r="U14" s="43">
        <v>0.46875</v>
      </c>
      <c r="V14" s="44">
        <v>46108</v>
      </c>
      <c r="W14" s="45">
        <v>46123</v>
      </c>
      <c r="X14" s="46" t="s">
        <v>66</v>
      </c>
      <c r="Y14" s="44">
        <v>46154</v>
      </c>
      <c r="Z14" s="44">
        <v>46157</v>
      </c>
      <c r="AA14" s="46" t="s">
        <v>66</v>
      </c>
      <c r="AB14" s="47">
        <v>34</v>
      </c>
      <c r="AC14" s="1">
        <v>46116</v>
      </c>
      <c r="AD14" s="1">
        <v>46157</v>
      </c>
      <c r="AE14" s="3">
        <v>7</v>
      </c>
      <c r="AF14" s="3" t="s">
        <v>68</v>
      </c>
      <c r="AG14" s="3" t="s">
        <v>69</v>
      </c>
      <c r="AH14" s="3">
        <v>21.5</v>
      </c>
      <c r="AI14" s="3">
        <v>11.571428571428571</v>
      </c>
      <c r="AK14" s="3" t="s">
        <v>69</v>
      </c>
      <c r="AL14" t="s">
        <v>80</v>
      </c>
      <c r="AN14" t="s">
        <v>72</v>
      </c>
      <c r="AO14" t="s">
        <v>62</v>
      </c>
      <c r="AP14" s="10"/>
      <c r="AQ14" s="1">
        <v>46104</v>
      </c>
      <c r="AR14" s="48" t="e">
        <v>#N/A</v>
      </c>
      <c r="AS14">
        <v>5311</v>
      </c>
      <c r="AT14">
        <v>100</v>
      </c>
      <c r="AU14" t="s">
        <v>139</v>
      </c>
      <c r="AV14">
        <v>15.14</v>
      </c>
      <c r="AW14">
        <v>14.28</v>
      </c>
      <c r="AX14">
        <v>800</v>
      </c>
      <c r="AY14">
        <v>38</v>
      </c>
      <c r="AZ14">
        <v>29.5</v>
      </c>
      <c r="BA14">
        <v>19.5</v>
      </c>
      <c r="BB14">
        <v>2</v>
      </c>
      <c r="BC14" s="3" t="s">
        <v>137</v>
      </c>
      <c r="BD14" s="16" t="s">
        <v>74</v>
      </c>
      <c r="BE14" t="s">
        <v>75</v>
      </c>
      <c r="BF14" s="49" t="e">
        <v>#N/A</v>
      </c>
      <c r="BG14" s="50" t="s">
        <v>75</v>
      </c>
      <c r="BH14" s="50" t="s">
        <v>135</v>
      </c>
      <c r="BI14" s="50" t="s">
        <v>75</v>
      </c>
    </row>
    <row r="15" spans="1:61" x14ac:dyDescent="0.25">
      <c r="A15" s="1">
        <v>46076</v>
      </c>
      <c r="B15" t="s">
        <v>140</v>
      </c>
      <c r="C15" t="s">
        <v>141</v>
      </c>
      <c r="D15" s="10" t="s">
        <v>142</v>
      </c>
      <c r="E15" t="s">
        <v>143</v>
      </c>
      <c r="F15" t="s">
        <v>62</v>
      </c>
      <c r="G15" s="39"/>
      <c r="H15" s="10" t="s">
        <v>551</v>
      </c>
      <c r="I15" t="s">
        <v>144</v>
      </c>
      <c r="J15">
        <v>2000</v>
      </c>
      <c r="K15" s="4" t="s">
        <v>64</v>
      </c>
      <c r="L15" s="40">
        <v>0</v>
      </c>
      <c r="M15" s="40">
        <v>2000</v>
      </c>
      <c r="N15" s="5">
        <v>2.1549999999999998</v>
      </c>
      <c r="O15">
        <v>4310</v>
      </c>
      <c r="P15" t="s">
        <v>65</v>
      </c>
      <c r="Q15" s="6"/>
      <c r="R15" s="41">
        <v>1.6060000000000001E-2</v>
      </c>
      <c r="S15" s="42">
        <v>32.120000000000005</v>
      </c>
      <c r="T15" s="42">
        <v>400</v>
      </c>
      <c r="U15" s="43">
        <v>0.625</v>
      </c>
      <c r="V15" s="44">
        <v>46112</v>
      </c>
      <c r="W15" s="45">
        <v>46127</v>
      </c>
      <c r="X15" s="46" t="s">
        <v>66</v>
      </c>
      <c r="Y15" s="44">
        <v>46154</v>
      </c>
      <c r="Z15" s="44">
        <v>46157</v>
      </c>
      <c r="AA15" s="46" t="s">
        <v>66</v>
      </c>
      <c r="AB15" s="47">
        <v>30</v>
      </c>
      <c r="AC15" s="1">
        <v>46157</v>
      </c>
      <c r="AD15" s="1">
        <v>46157</v>
      </c>
      <c r="AE15" s="3" t="s">
        <v>67</v>
      </c>
      <c r="AF15" s="3" t="s">
        <v>68</v>
      </c>
      <c r="AG15" s="3" t="s">
        <v>68</v>
      </c>
      <c r="AH15" s="3">
        <v>21.5</v>
      </c>
      <c r="AI15" s="3">
        <v>11.571428571428571</v>
      </c>
      <c r="AK15" s="3" t="s">
        <v>69</v>
      </c>
      <c r="AL15" t="s">
        <v>70</v>
      </c>
      <c r="AM15" t="s">
        <v>71</v>
      </c>
      <c r="AN15" t="s">
        <v>72</v>
      </c>
      <c r="AO15" t="s">
        <v>62</v>
      </c>
      <c r="AP15" s="10"/>
      <c r="AQ15" s="1">
        <v>46104</v>
      </c>
      <c r="AR15" s="48" t="e">
        <v>#N/A</v>
      </c>
      <c r="AS15">
        <v>5293</v>
      </c>
      <c r="AT15">
        <v>100</v>
      </c>
      <c r="AU15" t="s">
        <v>145</v>
      </c>
      <c r="AV15">
        <v>4.9400000000000004</v>
      </c>
      <c r="AW15">
        <v>7.1</v>
      </c>
      <c r="AX15">
        <v>1000</v>
      </c>
      <c r="AY15">
        <v>38</v>
      </c>
      <c r="AZ15">
        <v>29.5</v>
      </c>
      <c r="BA15">
        <v>19.5</v>
      </c>
      <c r="BB15">
        <v>2</v>
      </c>
      <c r="BC15" s="3" t="s">
        <v>143</v>
      </c>
      <c r="BD15" s="16" t="s">
        <v>74</v>
      </c>
      <c r="BE15" t="s">
        <v>75</v>
      </c>
      <c r="BF15" s="49" t="e">
        <v>#N/A</v>
      </c>
      <c r="BG15" s="50" t="s">
        <v>75</v>
      </c>
      <c r="BH15" s="50" t="s">
        <v>75</v>
      </c>
      <c r="BI15" s="50" t="s">
        <v>75</v>
      </c>
    </row>
    <row r="16" spans="1:61" x14ac:dyDescent="0.25">
      <c r="A16" s="1">
        <v>46076</v>
      </c>
      <c r="B16" t="s">
        <v>146</v>
      </c>
      <c r="C16" t="s">
        <v>147</v>
      </c>
      <c r="D16" s="10" t="s">
        <v>148</v>
      </c>
      <c r="E16" t="s">
        <v>149</v>
      </c>
      <c r="F16" t="s">
        <v>62</v>
      </c>
      <c r="G16" s="39"/>
      <c r="H16" s="10" t="s">
        <v>551</v>
      </c>
      <c r="I16" t="s">
        <v>150</v>
      </c>
      <c r="J16">
        <v>2000</v>
      </c>
      <c r="K16" s="4" t="s">
        <v>64</v>
      </c>
      <c r="L16" s="40">
        <v>0</v>
      </c>
      <c r="M16" s="40">
        <v>2000</v>
      </c>
      <c r="N16" s="5">
        <v>0.82</v>
      </c>
      <c r="O16">
        <v>1640</v>
      </c>
      <c r="P16" t="s">
        <v>65</v>
      </c>
      <c r="Q16" s="6"/>
      <c r="R16" s="41">
        <v>1.4200000000000001E-2</v>
      </c>
      <c r="S16" s="42">
        <v>28.400000000000002</v>
      </c>
      <c r="T16" s="42">
        <v>500</v>
      </c>
      <c r="U16" s="43">
        <v>0.5</v>
      </c>
      <c r="V16" s="44">
        <v>46108</v>
      </c>
      <c r="W16" s="45">
        <v>46123</v>
      </c>
      <c r="X16" s="46" t="s">
        <v>66</v>
      </c>
      <c r="Y16" s="44">
        <v>46154</v>
      </c>
      <c r="Z16" s="44">
        <v>46157</v>
      </c>
      <c r="AA16" s="46" t="s">
        <v>66</v>
      </c>
      <c r="AB16" s="47">
        <v>34</v>
      </c>
      <c r="AC16" s="1">
        <v>46116</v>
      </c>
      <c r="AD16" s="1">
        <v>46157</v>
      </c>
      <c r="AE16" s="3" t="s">
        <v>67</v>
      </c>
      <c r="AF16" s="3" t="s">
        <v>68</v>
      </c>
      <c r="AG16" s="3" t="s">
        <v>69</v>
      </c>
      <c r="AH16" s="3">
        <v>21.5</v>
      </c>
      <c r="AI16" s="3">
        <v>11.571428571428571</v>
      </c>
      <c r="AK16" s="3" t="s">
        <v>69</v>
      </c>
      <c r="AL16" t="s">
        <v>80</v>
      </c>
      <c r="AN16" t="s">
        <v>72</v>
      </c>
      <c r="AO16" t="s">
        <v>62</v>
      </c>
      <c r="AP16" s="10"/>
      <c r="AQ16" s="1">
        <v>46104</v>
      </c>
      <c r="AR16" s="48" t="e">
        <v>#N/A</v>
      </c>
      <c r="AS16">
        <v>5284</v>
      </c>
      <c r="AT16">
        <v>100</v>
      </c>
      <c r="AU16" t="s">
        <v>151</v>
      </c>
      <c r="AV16">
        <v>8.5</v>
      </c>
      <c r="AW16">
        <v>8.7100000000000009</v>
      </c>
      <c r="AX16">
        <v>800</v>
      </c>
      <c r="AY16">
        <v>38</v>
      </c>
      <c r="AZ16">
        <v>29.5</v>
      </c>
      <c r="BA16">
        <v>19.5</v>
      </c>
      <c r="BB16">
        <v>3</v>
      </c>
      <c r="BC16" s="3" t="s">
        <v>149</v>
      </c>
      <c r="BD16" s="16" t="s">
        <v>74</v>
      </c>
      <c r="BE16" t="s">
        <v>75</v>
      </c>
      <c r="BF16" s="49" t="e">
        <v>#N/A</v>
      </c>
      <c r="BG16" s="50" t="s">
        <v>75</v>
      </c>
      <c r="BH16" s="50" t="s">
        <v>147</v>
      </c>
      <c r="BI16" s="50" t="s">
        <v>75</v>
      </c>
    </row>
    <row r="17" spans="1:61" x14ac:dyDescent="0.25">
      <c r="A17" s="1">
        <v>46076</v>
      </c>
      <c r="B17" t="s">
        <v>152</v>
      </c>
      <c r="C17" t="s">
        <v>153</v>
      </c>
      <c r="D17" s="10" t="s">
        <v>154</v>
      </c>
      <c r="E17" t="s">
        <v>155</v>
      </c>
      <c r="F17" t="s">
        <v>62</v>
      </c>
      <c r="G17" s="39"/>
      <c r="H17" s="10" t="s">
        <v>551</v>
      </c>
      <c r="I17" t="s">
        <v>156</v>
      </c>
      <c r="J17">
        <v>1000</v>
      </c>
      <c r="K17" s="4" t="s">
        <v>64</v>
      </c>
      <c r="L17" s="40">
        <v>0</v>
      </c>
      <c r="M17" s="40">
        <v>1000</v>
      </c>
      <c r="N17" s="5">
        <v>1.143</v>
      </c>
      <c r="O17">
        <v>1143</v>
      </c>
      <c r="P17" t="s">
        <v>65</v>
      </c>
      <c r="Q17" s="6"/>
      <c r="R17" s="41">
        <v>6.8900000000000003E-3</v>
      </c>
      <c r="S17" s="42">
        <v>6.8900000000000006</v>
      </c>
      <c r="T17" s="42">
        <v>480</v>
      </c>
      <c r="U17" s="43">
        <v>0.26041666666666669</v>
      </c>
      <c r="V17" s="44">
        <v>46120</v>
      </c>
      <c r="W17" s="45">
        <v>46135</v>
      </c>
      <c r="X17" s="46" t="s">
        <v>66</v>
      </c>
      <c r="Y17" s="44">
        <v>46154</v>
      </c>
      <c r="Z17" s="44">
        <v>46157</v>
      </c>
      <c r="AA17" s="46" t="s">
        <v>66</v>
      </c>
      <c r="AB17" s="47">
        <v>22</v>
      </c>
      <c r="AC17" s="1">
        <v>46171</v>
      </c>
      <c r="AD17" s="1">
        <v>46171</v>
      </c>
      <c r="AE17" s="3">
        <v>0</v>
      </c>
      <c r="AF17" s="3" t="s">
        <v>68</v>
      </c>
      <c r="AG17" s="3" t="s">
        <v>68</v>
      </c>
      <c r="AH17" s="3">
        <v>21.5</v>
      </c>
      <c r="AI17" s="3">
        <v>11.571428571428571</v>
      </c>
      <c r="AK17" s="3" t="s">
        <v>69</v>
      </c>
      <c r="AL17" t="s">
        <v>70</v>
      </c>
      <c r="AN17" t="s">
        <v>72</v>
      </c>
      <c r="AO17" t="s">
        <v>62</v>
      </c>
      <c r="AP17" s="10"/>
      <c r="AQ17" s="1">
        <v>46104</v>
      </c>
      <c r="AR17" s="48" t="e">
        <v>#N/A</v>
      </c>
      <c r="AS17">
        <v>5276</v>
      </c>
      <c r="AT17">
        <v>100</v>
      </c>
      <c r="AU17" t="s">
        <v>157</v>
      </c>
      <c r="AV17">
        <v>1.95</v>
      </c>
      <c r="AW17">
        <v>4.99</v>
      </c>
      <c r="AX17">
        <v>1000</v>
      </c>
      <c r="AY17">
        <v>36</v>
      </c>
      <c r="AZ17">
        <v>34</v>
      </c>
      <c r="BA17">
        <v>24.5</v>
      </c>
      <c r="BB17">
        <v>1</v>
      </c>
      <c r="BC17" s="3" t="s">
        <v>155</v>
      </c>
      <c r="BD17" s="16" t="s">
        <v>74</v>
      </c>
      <c r="BE17" t="s">
        <v>75</v>
      </c>
      <c r="BF17" s="49" t="e">
        <v>#N/A</v>
      </c>
      <c r="BG17" s="50" t="s">
        <v>75</v>
      </c>
      <c r="BH17" s="50" t="s">
        <v>75</v>
      </c>
      <c r="BI17" s="50" t="s">
        <v>75</v>
      </c>
    </row>
    <row r="18" spans="1:61" x14ac:dyDescent="0.25">
      <c r="A18" s="1">
        <v>46076</v>
      </c>
      <c r="B18" t="s">
        <v>158</v>
      </c>
      <c r="C18" t="s">
        <v>159</v>
      </c>
      <c r="D18" s="10">
        <v>112631</v>
      </c>
      <c r="E18" t="s">
        <v>160</v>
      </c>
      <c r="F18" t="s">
        <v>62</v>
      </c>
      <c r="G18" s="39"/>
      <c r="H18" s="10" t="s">
        <v>551</v>
      </c>
      <c r="I18" t="s">
        <v>161</v>
      </c>
      <c r="J18">
        <v>1000</v>
      </c>
      <c r="K18" s="4" t="s">
        <v>64</v>
      </c>
      <c r="L18" s="40">
        <v>0</v>
      </c>
      <c r="M18" s="40">
        <v>1000</v>
      </c>
      <c r="N18" s="5">
        <v>1.0549999999999999</v>
      </c>
      <c r="O18">
        <v>1055</v>
      </c>
      <c r="P18" t="s">
        <v>65</v>
      </c>
      <c r="Q18" s="6"/>
      <c r="R18" s="41">
        <v>9.6600000000000002E-3</v>
      </c>
      <c r="S18" s="42">
        <v>9.66</v>
      </c>
      <c r="T18" s="42">
        <v>450</v>
      </c>
      <c r="U18" s="43">
        <v>0.27777777777777779</v>
      </c>
      <c r="V18" s="44">
        <v>46108</v>
      </c>
      <c r="W18" s="45">
        <v>46123</v>
      </c>
      <c r="X18" s="46" t="s">
        <v>66</v>
      </c>
      <c r="Y18" s="44">
        <v>46154</v>
      </c>
      <c r="Z18" s="44">
        <v>46157</v>
      </c>
      <c r="AA18" s="46" t="s">
        <v>66</v>
      </c>
      <c r="AB18" s="47">
        <v>34</v>
      </c>
      <c r="AC18" s="1">
        <v>46116</v>
      </c>
      <c r="AD18" s="1">
        <v>46157</v>
      </c>
      <c r="AE18" s="3" t="s">
        <v>67</v>
      </c>
      <c r="AF18" s="3" t="s">
        <v>68</v>
      </c>
      <c r="AG18" s="3" t="s">
        <v>69</v>
      </c>
      <c r="AH18" s="3">
        <v>21.5</v>
      </c>
      <c r="AI18" s="3">
        <v>11.571428571428571</v>
      </c>
      <c r="AK18" s="3" t="s">
        <v>69</v>
      </c>
      <c r="AL18" t="s">
        <v>80</v>
      </c>
      <c r="AN18" t="s">
        <v>72</v>
      </c>
      <c r="AO18" t="s">
        <v>62</v>
      </c>
      <c r="AP18" s="10"/>
      <c r="AQ18" s="1">
        <v>46104</v>
      </c>
      <c r="AR18" s="48" t="e">
        <v>#N/A</v>
      </c>
      <c r="AS18">
        <v>5273</v>
      </c>
      <c r="AT18">
        <v>100</v>
      </c>
      <c r="AU18" t="s">
        <v>162</v>
      </c>
      <c r="AV18">
        <v>10.47</v>
      </c>
      <c r="AW18">
        <v>10.3</v>
      </c>
      <c r="AX18">
        <v>800</v>
      </c>
      <c r="AY18">
        <v>38</v>
      </c>
      <c r="AZ18">
        <v>29.5</v>
      </c>
      <c r="BA18">
        <v>19.5</v>
      </c>
      <c r="BB18">
        <v>2</v>
      </c>
      <c r="BC18" s="3" t="s">
        <v>160</v>
      </c>
      <c r="BD18" s="16" t="s">
        <v>74</v>
      </c>
      <c r="BE18" t="s">
        <v>75</v>
      </c>
      <c r="BF18" s="49" t="e">
        <v>#N/A</v>
      </c>
      <c r="BG18" s="50" t="s">
        <v>75</v>
      </c>
      <c r="BH18" s="50" t="s">
        <v>75</v>
      </c>
      <c r="BI18" s="50" t="s">
        <v>75</v>
      </c>
    </row>
    <row r="19" spans="1:61" x14ac:dyDescent="0.25">
      <c r="A19" s="1">
        <v>46076</v>
      </c>
      <c r="B19" t="s">
        <v>163</v>
      </c>
      <c r="C19" t="s">
        <v>164</v>
      </c>
      <c r="D19" s="10">
        <v>112514</v>
      </c>
      <c r="E19" t="s">
        <v>165</v>
      </c>
      <c r="F19" t="s">
        <v>62</v>
      </c>
      <c r="G19" s="39"/>
      <c r="H19" s="10" t="s">
        <v>551</v>
      </c>
      <c r="I19" t="s">
        <v>166</v>
      </c>
      <c r="J19">
        <v>5500</v>
      </c>
      <c r="K19" s="4" t="s">
        <v>64</v>
      </c>
      <c r="L19" s="40">
        <v>0</v>
      </c>
      <c r="M19" s="40">
        <v>5500</v>
      </c>
      <c r="N19" s="5">
        <v>0.72699999999999998</v>
      </c>
      <c r="O19">
        <v>3998.5</v>
      </c>
      <c r="P19" t="s">
        <v>65</v>
      </c>
      <c r="Q19" s="6"/>
      <c r="R19" s="41">
        <v>1.391E-2</v>
      </c>
      <c r="S19" s="42">
        <v>76.50500000000001</v>
      </c>
      <c r="T19" s="42">
        <v>500</v>
      </c>
      <c r="U19" s="43">
        <v>1.375</v>
      </c>
      <c r="V19" s="44">
        <v>46105</v>
      </c>
      <c r="W19" s="45">
        <v>46120</v>
      </c>
      <c r="X19" s="46" t="s">
        <v>66</v>
      </c>
      <c r="Y19" s="44">
        <v>46154</v>
      </c>
      <c r="Z19" s="44">
        <v>46157</v>
      </c>
      <c r="AA19" s="46" t="s">
        <v>66</v>
      </c>
      <c r="AB19" s="47">
        <v>37</v>
      </c>
      <c r="AC19" s="1">
        <v>46164</v>
      </c>
      <c r="AD19" s="1">
        <v>46164</v>
      </c>
      <c r="AE19" s="3" t="s">
        <v>67</v>
      </c>
      <c r="AF19" s="3" t="s">
        <v>68</v>
      </c>
      <c r="AG19" s="3" t="s">
        <v>68</v>
      </c>
      <c r="AH19" s="3">
        <v>21.5</v>
      </c>
      <c r="AI19" s="3">
        <v>11.571428571428571</v>
      </c>
      <c r="AK19" s="3" t="s">
        <v>69</v>
      </c>
      <c r="AL19" t="s">
        <v>70</v>
      </c>
      <c r="AN19" t="s">
        <v>72</v>
      </c>
      <c r="AO19" t="s">
        <v>62</v>
      </c>
      <c r="AP19" s="10"/>
      <c r="AQ19" s="1">
        <v>46104</v>
      </c>
      <c r="AR19" s="48" t="e">
        <v>#N/A</v>
      </c>
      <c r="AS19">
        <v>5272</v>
      </c>
      <c r="AT19">
        <v>100</v>
      </c>
      <c r="AU19" t="s">
        <v>167</v>
      </c>
      <c r="AV19">
        <v>8.58</v>
      </c>
      <c r="AW19">
        <v>8.81</v>
      </c>
      <c r="AX19">
        <v>800</v>
      </c>
      <c r="AY19">
        <v>38</v>
      </c>
      <c r="AZ19">
        <v>29.5</v>
      </c>
      <c r="BA19">
        <v>19.5</v>
      </c>
      <c r="BB19">
        <v>7</v>
      </c>
      <c r="BC19" s="3" t="s">
        <v>165</v>
      </c>
      <c r="BD19" s="16" t="s">
        <v>74</v>
      </c>
      <c r="BE19" t="s">
        <v>75</v>
      </c>
      <c r="BF19" s="49" t="e">
        <v>#N/A</v>
      </c>
      <c r="BG19" s="50" t="s">
        <v>75</v>
      </c>
      <c r="BH19" s="50" t="s">
        <v>75</v>
      </c>
      <c r="BI19" s="50" t="s">
        <v>75</v>
      </c>
    </row>
    <row r="20" spans="1:61" x14ac:dyDescent="0.25">
      <c r="A20" s="1">
        <v>46076</v>
      </c>
      <c r="B20" t="s">
        <v>168</v>
      </c>
      <c r="C20" t="s">
        <v>169</v>
      </c>
      <c r="D20" s="10" t="s">
        <v>170</v>
      </c>
      <c r="E20" t="s">
        <v>171</v>
      </c>
      <c r="F20" t="s">
        <v>62</v>
      </c>
      <c r="G20" s="39"/>
      <c r="H20" s="10" t="s">
        <v>551</v>
      </c>
      <c r="I20" t="s">
        <v>172</v>
      </c>
      <c r="J20">
        <v>3000</v>
      </c>
      <c r="K20" s="4" t="s">
        <v>64</v>
      </c>
      <c r="L20" s="40">
        <v>0</v>
      </c>
      <c r="M20" s="40">
        <v>3000</v>
      </c>
      <c r="N20" s="5">
        <v>0.84199999999999997</v>
      </c>
      <c r="O20">
        <v>2526</v>
      </c>
      <c r="P20" t="s">
        <v>65</v>
      </c>
      <c r="Q20" s="6"/>
      <c r="R20" s="41">
        <v>6.1700000000000001E-3</v>
      </c>
      <c r="S20" s="42">
        <v>18.510000000000002</v>
      </c>
      <c r="T20" s="42">
        <v>450</v>
      </c>
      <c r="U20" s="43">
        <v>0.83333333333333337</v>
      </c>
      <c r="V20" s="44">
        <v>46108</v>
      </c>
      <c r="W20" s="45">
        <v>46123</v>
      </c>
      <c r="X20" s="46" t="s">
        <v>66</v>
      </c>
      <c r="Y20" s="44">
        <v>46154</v>
      </c>
      <c r="Z20" s="44">
        <v>46157</v>
      </c>
      <c r="AA20" s="46" t="s">
        <v>66</v>
      </c>
      <c r="AB20" s="47">
        <v>34</v>
      </c>
      <c r="AC20" s="1">
        <v>46171</v>
      </c>
      <c r="AD20" s="1">
        <v>46171</v>
      </c>
      <c r="AE20" s="3" t="s">
        <v>67</v>
      </c>
      <c r="AF20" s="3" t="s">
        <v>68</v>
      </c>
      <c r="AG20" s="3" t="s">
        <v>68</v>
      </c>
      <c r="AH20" s="3">
        <v>21.5</v>
      </c>
      <c r="AI20" s="3">
        <v>11.571428571428571</v>
      </c>
      <c r="AK20" s="3" t="s">
        <v>69</v>
      </c>
      <c r="AL20" t="s">
        <v>70</v>
      </c>
      <c r="AN20" t="s">
        <v>72</v>
      </c>
      <c r="AO20" t="s">
        <v>62</v>
      </c>
      <c r="AP20" s="10"/>
      <c r="AQ20" s="1">
        <v>46104</v>
      </c>
      <c r="AR20" s="48" t="e">
        <v>#N/A</v>
      </c>
      <c r="AS20">
        <v>5271</v>
      </c>
      <c r="AT20">
        <v>100</v>
      </c>
      <c r="AU20" t="s">
        <v>173</v>
      </c>
      <c r="AV20">
        <v>7.2</v>
      </c>
      <c r="AW20">
        <v>7.85</v>
      </c>
      <c r="AX20">
        <v>800</v>
      </c>
      <c r="AY20">
        <v>38</v>
      </c>
      <c r="AZ20">
        <v>29.5</v>
      </c>
      <c r="BA20">
        <v>19.5</v>
      </c>
      <c r="BB20">
        <v>4</v>
      </c>
      <c r="BC20" s="3" t="s">
        <v>171</v>
      </c>
      <c r="BD20" s="16" t="s">
        <v>74</v>
      </c>
      <c r="BE20" t="s">
        <v>75</v>
      </c>
      <c r="BF20" s="49" t="e">
        <v>#N/A</v>
      </c>
      <c r="BG20" s="50" t="s">
        <v>169</v>
      </c>
      <c r="BH20" s="50" t="s">
        <v>75</v>
      </c>
      <c r="BI20" s="50" t="s">
        <v>75</v>
      </c>
    </row>
    <row r="21" spans="1:61" x14ac:dyDescent="0.25">
      <c r="A21" s="1">
        <v>46076</v>
      </c>
      <c r="B21" t="s">
        <v>174</v>
      </c>
      <c r="C21" t="s">
        <v>175</v>
      </c>
      <c r="D21" s="10">
        <v>112563</v>
      </c>
      <c r="E21" t="s">
        <v>176</v>
      </c>
      <c r="F21" t="s">
        <v>62</v>
      </c>
      <c r="G21" s="39"/>
      <c r="H21" s="10" t="s">
        <v>551</v>
      </c>
      <c r="I21" t="s">
        <v>177</v>
      </c>
      <c r="J21">
        <v>1000</v>
      </c>
      <c r="K21" s="4" t="s">
        <v>64</v>
      </c>
      <c r="L21" s="40">
        <v>0</v>
      </c>
      <c r="M21" s="40">
        <v>1000</v>
      </c>
      <c r="N21" s="5">
        <v>1.167</v>
      </c>
      <c r="O21">
        <v>1167</v>
      </c>
      <c r="P21" t="s">
        <v>65</v>
      </c>
      <c r="Q21" s="6"/>
      <c r="R21" s="41">
        <v>1.1809999999999999E-2</v>
      </c>
      <c r="S21" s="42">
        <v>11.809999999999999</v>
      </c>
      <c r="T21" s="42">
        <v>500</v>
      </c>
      <c r="U21" s="43">
        <v>0.25</v>
      </c>
      <c r="V21" s="44">
        <v>46110</v>
      </c>
      <c r="W21" s="45">
        <v>46125</v>
      </c>
      <c r="X21" s="46" t="s">
        <v>66</v>
      </c>
      <c r="Y21" s="44">
        <v>46154</v>
      </c>
      <c r="Z21" s="44">
        <v>46157</v>
      </c>
      <c r="AA21" s="46" t="s">
        <v>66</v>
      </c>
      <c r="AB21" s="47">
        <v>32</v>
      </c>
      <c r="AC21" s="1">
        <v>46171</v>
      </c>
      <c r="AD21" s="1">
        <v>46171</v>
      </c>
      <c r="AE21" s="3">
        <v>0</v>
      </c>
      <c r="AF21" s="3" t="s">
        <v>68</v>
      </c>
      <c r="AG21" s="3" t="s">
        <v>68</v>
      </c>
      <c r="AH21" s="3">
        <v>21.5</v>
      </c>
      <c r="AI21" s="3">
        <v>11.571428571428571</v>
      </c>
      <c r="AK21" s="3" t="s">
        <v>69</v>
      </c>
      <c r="AL21" t="s">
        <v>70</v>
      </c>
      <c r="AN21" t="s">
        <v>72</v>
      </c>
      <c r="AO21" t="s">
        <v>62</v>
      </c>
      <c r="AP21" s="10"/>
      <c r="AQ21" s="1">
        <v>46104</v>
      </c>
      <c r="AR21" s="48" t="e">
        <v>#N/A</v>
      </c>
      <c r="AS21">
        <v>5261</v>
      </c>
      <c r="AT21">
        <v>100</v>
      </c>
      <c r="AU21" t="s">
        <v>178</v>
      </c>
      <c r="AV21">
        <v>20.48</v>
      </c>
      <c r="AW21">
        <v>13.98</v>
      </c>
      <c r="AX21">
        <v>600</v>
      </c>
      <c r="AY21">
        <v>36</v>
      </c>
      <c r="AZ21">
        <v>34</v>
      </c>
      <c r="BA21">
        <v>24.5</v>
      </c>
      <c r="BB21">
        <v>2</v>
      </c>
      <c r="BC21" s="3" t="s">
        <v>176</v>
      </c>
      <c r="BD21" s="16" t="s">
        <v>74</v>
      </c>
      <c r="BE21" t="s">
        <v>75</v>
      </c>
      <c r="BF21" s="49" t="e">
        <v>#N/A</v>
      </c>
      <c r="BG21" s="50" t="s">
        <v>75</v>
      </c>
      <c r="BH21" s="50" t="s">
        <v>75</v>
      </c>
      <c r="BI21" s="50" t="s">
        <v>75</v>
      </c>
    </row>
    <row r="22" spans="1:61" x14ac:dyDescent="0.25">
      <c r="A22" s="1">
        <v>46076</v>
      </c>
      <c r="B22" t="s">
        <v>179</v>
      </c>
      <c r="C22">
        <v>36775</v>
      </c>
      <c r="D22" s="10" t="s">
        <v>180</v>
      </c>
      <c r="E22" t="s">
        <v>181</v>
      </c>
      <c r="F22" t="s">
        <v>62</v>
      </c>
      <c r="G22" s="39"/>
      <c r="H22" s="10" t="s">
        <v>551</v>
      </c>
      <c r="I22" t="s">
        <v>182</v>
      </c>
      <c r="J22">
        <v>10000</v>
      </c>
      <c r="K22" s="4" t="s">
        <v>64</v>
      </c>
      <c r="L22" s="40">
        <v>0</v>
      </c>
      <c r="M22" s="40">
        <v>10000</v>
      </c>
      <c r="N22" s="5">
        <v>1.427</v>
      </c>
      <c r="O22">
        <v>14270</v>
      </c>
      <c r="P22" t="s">
        <v>14</v>
      </c>
      <c r="Q22" s="6"/>
      <c r="R22" s="41">
        <v>1.472E-2</v>
      </c>
      <c r="S22" s="42">
        <v>147.20000000000002</v>
      </c>
      <c r="T22" s="42">
        <v>400</v>
      </c>
      <c r="U22" s="43">
        <v>3.125</v>
      </c>
      <c r="V22" s="44">
        <v>46126</v>
      </c>
      <c r="W22" s="45">
        <v>46141</v>
      </c>
      <c r="X22" s="46" t="s">
        <v>66</v>
      </c>
      <c r="Y22" s="44">
        <v>46154</v>
      </c>
      <c r="Z22" s="53">
        <v>46157</v>
      </c>
      <c r="AA22" s="46" t="s">
        <v>66</v>
      </c>
      <c r="AB22" s="47">
        <v>16</v>
      </c>
      <c r="AC22" s="1">
        <v>46157</v>
      </c>
      <c r="AD22" s="1">
        <v>46157</v>
      </c>
      <c r="AE22" s="3">
        <v>14</v>
      </c>
      <c r="AF22" s="3" t="s">
        <v>68</v>
      </c>
      <c r="AG22" s="3" t="s">
        <v>68</v>
      </c>
      <c r="AH22" s="3">
        <v>21.5</v>
      </c>
      <c r="AI22" s="3">
        <v>11.571428571428571</v>
      </c>
      <c r="AK22" s="3" t="s">
        <v>69</v>
      </c>
      <c r="AL22" t="s">
        <v>70</v>
      </c>
      <c r="AM22" t="s">
        <v>71</v>
      </c>
      <c r="AN22" t="s">
        <v>72</v>
      </c>
      <c r="AO22" t="s">
        <v>62</v>
      </c>
      <c r="AP22" s="10"/>
      <c r="AQ22" s="1">
        <v>46104</v>
      </c>
      <c r="AR22" s="48" t="e">
        <v>#N/A</v>
      </c>
      <c r="AS22">
        <v>5259</v>
      </c>
      <c r="AT22">
        <v>200</v>
      </c>
      <c r="AU22" t="s">
        <v>183</v>
      </c>
      <c r="AV22">
        <v>9.44</v>
      </c>
      <c r="AW22">
        <v>10.19</v>
      </c>
      <c r="AX22">
        <v>800</v>
      </c>
      <c r="AY22">
        <v>36</v>
      </c>
      <c r="AZ22">
        <v>34</v>
      </c>
      <c r="BA22">
        <v>24.5</v>
      </c>
      <c r="BB22">
        <v>13</v>
      </c>
      <c r="BC22" s="3" t="s">
        <v>181</v>
      </c>
      <c r="BD22" s="16" t="s">
        <v>74</v>
      </c>
      <c r="BE22" t="s">
        <v>75</v>
      </c>
      <c r="BF22" s="49" t="e">
        <v>#N/A</v>
      </c>
      <c r="BG22" s="50" t="s">
        <v>75</v>
      </c>
      <c r="BH22" s="50">
        <v>36775</v>
      </c>
      <c r="BI22" s="50" t="s">
        <v>75</v>
      </c>
    </row>
    <row r="23" spans="1:61" x14ac:dyDescent="0.25">
      <c r="A23" s="1">
        <v>46076</v>
      </c>
      <c r="B23" t="s">
        <v>184</v>
      </c>
      <c r="C23">
        <v>27000</v>
      </c>
      <c r="D23" s="10" t="s">
        <v>185</v>
      </c>
      <c r="E23" t="s">
        <v>186</v>
      </c>
      <c r="F23" t="s">
        <v>62</v>
      </c>
      <c r="G23" s="39"/>
      <c r="H23" s="10" t="s">
        <v>551</v>
      </c>
      <c r="I23" t="s">
        <v>187</v>
      </c>
      <c r="J23">
        <v>2500</v>
      </c>
      <c r="K23" s="4" t="s">
        <v>64</v>
      </c>
      <c r="L23" s="40">
        <v>0</v>
      </c>
      <c r="M23" s="40">
        <v>2500</v>
      </c>
      <c r="N23" s="5">
        <v>1.391</v>
      </c>
      <c r="O23">
        <v>3477.5</v>
      </c>
      <c r="P23" t="s">
        <v>65</v>
      </c>
      <c r="Q23" s="6"/>
      <c r="R23" s="41">
        <v>8.0400000000000003E-3</v>
      </c>
      <c r="S23" s="42">
        <v>20.100000000000001</v>
      </c>
      <c r="T23" s="42">
        <v>400</v>
      </c>
      <c r="U23" s="43">
        <v>0.78125</v>
      </c>
      <c r="V23" s="44">
        <v>46126</v>
      </c>
      <c r="W23" s="45">
        <v>46141</v>
      </c>
      <c r="X23" s="46" t="s">
        <v>66</v>
      </c>
      <c r="Y23" s="44">
        <v>46154</v>
      </c>
      <c r="Z23" s="44">
        <v>46157</v>
      </c>
      <c r="AA23" s="46" t="s">
        <v>66</v>
      </c>
      <c r="AB23" s="47">
        <v>16</v>
      </c>
      <c r="AC23" s="1">
        <v>46150</v>
      </c>
      <c r="AD23" s="1">
        <v>46150</v>
      </c>
      <c r="AE23" s="3">
        <v>7</v>
      </c>
      <c r="AF23" s="3" t="s">
        <v>69</v>
      </c>
      <c r="AG23" s="3" t="s">
        <v>69</v>
      </c>
      <c r="AH23" s="3">
        <v>21.5</v>
      </c>
      <c r="AI23" s="3">
        <v>11.571428571428571</v>
      </c>
      <c r="AK23" s="3" t="s">
        <v>69</v>
      </c>
      <c r="AL23" t="s">
        <v>70</v>
      </c>
      <c r="AM23" t="s">
        <v>71</v>
      </c>
      <c r="AN23" t="s">
        <v>72</v>
      </c>
      <c r="AO23" t="s">
        <v>62</v>
      </c>
      <c r="AP23" s="10"/>
      <c r="AQ23" s="1">
        <v>46104</v>
      </c>
      <c r="AR23" s="48" t="e">
        <v>#N/A</v>
      </c>
      <c r="AS23">
        <v>5230</v>
      </c>
      <c r="AT23">
        <v>100</v>
      </c>
      <c r="AU23" t="s">
        <v>188</v>
      </c>
      <c r="AV23">
        <v>10.1</v>
      </c>
      <c r="AW23">
        <v>9.0742999999999991</v>
      </c>
      <c r="AX23">
        <v>700</v>
      </c>
      <c r="AY23">
        <v>38</v>
      </c>
      <c r="AZ23">
        <v>29.5</v>
      </c>
      <c r="BA23">
        <v>19.5</v>
      </c>
      <c r="BB23">
        <v>4</v>
      </c>
      <c r="BC23" s="3" t="s">
        <v>186</v>
      </c>
      <c r="BD23" s="16" t="s">
        <v>74</v>
      </c>
      <c r="BE23" t="s">
        <v>75</v>
      </c>
      <c r="BF23" s="49" t="e">
        <v>#N/A</v>
      </c>
      <c r="BG23" s="50" t="s">
        <v>75</v>
      </c>
      <c r="BH23" s="50" t="s">
        <v>75</v>
      </c>
      <c r="BI23" s="50" t="s">
        <v>75</v>
      </c>
    </row>
    <row r="24" spans="1:61" x14ac:dyDescent="0.25">
      <c r="A24" s="1">
        <v>46077</v>
      </c>
      <c r="B24" t="s">
        <v>189</v>
      </c>
      <c r="C24" t="s">
        <v>190</v>
      </c>
      <c r="D24">
        <v>202112</v>
      </c>
      <c r="E24" t="s">
        <v>191</v>
      </c>
      <c r="F24" t="s">
        <v>62</v>
      </c>
      <c r="G24" s="39"/>
      <c r="H24" s="10" t="s">
        <v>551</v>
      </c>
      <c r="I24" t="s">
        <v>192</v>
      </c>
      <c r="J24">
        <v>2000</v>
      </c>
      <c r="K24" s="4" t="s">
        <v>64</v>
      </c>
      <c r="L24" s="40">
        <v>0</v>
      </c>
      <c r="M24" s="40">
        <v>2000</v>
      </c>
      <c r="N24">
        <v>0.61699999999999999</v>
      </c>
      <c r="O24">
        <v>1234</v>
      </c>
      <c r="P24" t="s">
        <v>65</v>
      </c>
      <c r="Q24" s="6"/>
      <c r="R24" s="41">
        <v>5.4299999999999999E-3</v>
      </c>
      <c r="S24" s="42">
        <v>10.86</v>
      </c>
      <c r="T24" s="42">
        <v>400</v>
      </c>
      <c r="U24" s="43">
        <v>0.625</v>
      </c>
      <c r="V24" s="44">
        <v>46120</v>
      </c>
      <c r="W24" s="45">
        <v>46135</v>
      </c>
      <c r="X24" s="46" t="s">
        <v>66</v>
      </c>
      <c r="Y24" s="44">
        <v>46154</v>
      </c>
      <c r="Z24" s="44">
        <v>46157</v>
      </c>
      <c r="AA24" s="46" t="s">
        <v>66</v>
      </c>
      <c r="AB24" s="47">
        <v>22</v>
      </c>
      <c r="AC24" s="1">
        <v>46171</v>
      </c>
      <c r="AD24" s="1">
        <v>46171</v>
      </c>
      <c r="AE24" s="3">
        <v>14</v>
      </c>
      <c r="AF24" s="3" t="s">
        <v>68</v>
      </c>
      <c r="AG24" s="3" t="s">
        <v>68</v>
      </c>
      <c r="AH24" s="3">
        <v>20.5</v>
      </c>
      <c r="AI24" s="3">
        <v>11.428571428571429</v>
      </c>
      <c r="AK24" s="3" t="s">
        <v>69</v>
      </c>
      <c r="AL24" t="s">
        <v>70</v>
      </c>
      <c r="AN24" t="s">
        <v>72</v>
      </c>
      <c r="AO24" t="s">
        <v>62</v>
      </c>
      <c r="AP24" s="10"/>
      <c r="AQ24" s="1">
        <v>46105</v>
      </c>
      <c r="AR24" s="48" t="e">
        <v>#N/A</v>
      </c>
      <c r="AS24">
        <v>5437</v>
      </c>
      <c r="AT24">
        <v>100</v>
      </c>
      <c r="AU24" t="s">
        <v>193</v>
      </c>
      <c r="AV24">
        <v>2.52</v>
      </c>
      <c r="AW24">
        <v>5.08</v>
      </c>
      <c r="AX24">
        <v>1000</v>
      </c>
      <c r="AY24">
        <v>38</v>
      </c>
      <c r="AZ24">
        <v>29.5</v>
      </c>
      <c r="BA24">
        <v>19.5</v>
      </c>
      <c r="BB24">
        <v>2</v>
      </c>
      <c r="BC24" s="3" t="s">
        <v>191</v>
      </c>
      <c r="BD24" t="s">
        <v>74</v>
      </c>
      <c r="BE24" t="s">
        <v>75</v>
      </c>
      <c r="BF24" s="49" t="e">
        <v>#N/A</v>
      </c>
      <c r="BG24" s="50" t="s">
        <v>75</v>
      </c>
      <c r="BH24" s="50" t="s">
        <v>75</v>
      </c>
      <c r="BI24" s="50" t="s">
        <v>75</v>
      </c>
    </row>
    <row r="25" spans="1:61" x14ac:dyDescent="0.25">
      <c r="A25" s="1">
        <v>46077</v>
      </c>
      <c r="B25" t="s">
        <v>194</v>
      </c>
      <c r="C25" t="s">
        <v>195</v>
      </c>
      <c r="D25">
        <v>132194</v>
      </c>
      <c r="E25" t="s">
        <v>196</v>
      </c>
      <c r="F25" t="s">
        <v>62</v>
      </c>
      <c r="G25" s="39"/>
      <c r="H25" s="10" t="s">
        <v>551</v>
      </c>
      <c r="I25" t="s">
        <v>197</v>
      </c>
      <c r="J25">
        <v>1000</v>
      </c>
      <c r="K25" s="4" t="s">
        <v>64</v>
      </c>
      <c r="L25" s="40">
        <v>0</v>
      </c>
      <c r="M25" s="40">
        <v>1000</v>
      </c>
      <c r="N25">
        <v>1.9870000000000001</v>
      </c>
      <c r="O25">
        <v>1987</v>
      </c>
      <c r="P25" t="s">
        <v>65</v>
      </c>
      <c r="Q25" s="6"/>
      <c r="R25" s="41">
        <v>9.2499999999999995E-3</v>
      </c>
      <c r="S25" s="42">
        <v>9.25</v>
      </c>
      <c r="T25" s="42">
        <v>450</v>
      </c>
      <c r="U25" s="43">
        <v>0.27777777777777779</v>
      </c>
      <c r="V25" s="44">
        <v>46120</v>
      </c>
      <c r="W25" s="45">
        <v>46135</v>
      </c>
      <c r="X25" s="46" t="s">
        <v>66</v>
      </c>
      <c r="Y25" s="44">
        <v>46154</v>
      </c>
      <c r="Z25" s="44">
        <v>46157</v>
      </c>
      <c r="AA25" s="46" t="s">
        <v>66</v>
      </c>
      <c r="AB25" s="47">
        <v>22</v>
      </c>
      <c r="AC25" s="1">
        <v>46171</v>
      </c>
      <c r="AD25" s="1">
        <v>46171</v>
      </c>
      <c r="AE25" s="3" t="s">
        <v>67</v>
      </c>
      <c r="AF25" s="3" t="s">
        <v>68</v>
      </c>
      <c r="AG25" s="3" t="s">
        <v>68</v>
      </c>
      <c r="AH25" s="3">
        <v>20.5</v>
      </c>
      <c r="AI25" s="3">
        <v>11.428571428571429</v>
      </c>
      <c r="AK25" s="3" t="s">
        <v>69</v>
      </c>
      <c r="AL25" t="s">
        <v>70</v>
      </c>
      <c r="AN25" t="s">
        <v>72</v>
      </c>
      <c r="AO25" t="s">
        <v>62</v>
      </c>
      <c r="AP25" s="10"/>
      <c r="AQ25" s="1">
        <v>46105</v>
      </c>
      <c r="AR25" s="48" t="e">
        <v>#N/A</v>
      </c>
      <c r="AS25">
        <v>5434</v>
      </c>
      <c r="AT25">
        <v>100</v>
      </c>
      <c r="AU25" t="s">
        <v>198</v>
      </c>
      <c r="AV25">
        <v>6.3</v>
      </c>
      <c r="AW25">
        <v>8.43</v>
      </c>
      <c r="AX25">
        <v>1000</v>
      </c>
      <c r="AY25">
        <v>38</v>
      </c>
      <c r="AZ25">
        <v>29.5</v>
      </c>
      <c r="BA25">
        <v>19.5</v>
      </c>
      <c r="BB25">
        <v>1</v>
      </c>
      <c r="BC25" s="3" t="s">
        <v>196</v>
      </c>
      <c r="BD25" t="s">
        <v>74</v>
      </c>
      <c r="BE25" t="s">
        <v>75</v>
      </c>
      <c r="BF25" s="49" t="e">
        <v>#N/A</v>
      </c>
      <c r="BG25" s="50" t="s">
        <v>75</v>
      </c>
      <c r="BH25" s="50" t="s">
        <v>75</v>
      </c>
      <c r="BI25" s="50" t="s">
        <v>75</v>
      </c>
    </row>
    <row r="26" spans="1:61" x14ac:dyDescent="0.25">
      <c r="A26" s="1">
        <v>46077</v>
      </c>
      <c r="B26" t="s">
        <v>199</v>
      </c>
      <c r="C26" t="s">
        <v>200</v>
      </c>
      <c r="D26" t="s">
        <v>201</v>
      </c>
      <c r="E26" t="s">
        <v>202</v>
      </c>
      <c r="F26" t="s">
        <v>62</v>
      </c>
      <c r="G26" s="39"/>
      <c r="H26" s="10" t="s">
        <v>551</v>
      </c>
      <c r="I26" t="s">
        <v>203</v>
      </c>
      <c r="J26">
        <v>1000</v>
      </c>
      <c r="K26" s="4" t="s">
        <v>64</v>
      </c>
      <c r="L26" s="40">
        <v>0</v>
      </c>
      <c r="M26" s="40">
        <v>1000</v>
      </c>
      <c r="N26">
        <v>0.83299999999999996</v>
      </c>
      <c r="O26">
        <v>833</v>
      </c>
      <c r="P26" t="s">
        <v>65</v>
      </c>
      <c r="Q26" s="6"/>
      <c r="R26" s="41">
        <v>8.0199999999999994E-3</v>
      </c>
      <c r="S26" s="42">
        <v>8.02</v>
      </c>
      <c r="T26" s="42">
        <v>450</v>
      </c>
      <c r="U26" s="43">
        <v>0.27777777777777779</v>
      </c>
      <c r="V26" s="44">
        <v>46120</v>
      </c>
      <c r="W26" s="45">
        <v>46135</v>
      </c>
      <c r="X26" s="46" t="s">
        <v>66</v>
      </c>
      <c r="Y26" s="44">
        <v>46154</v>
      </c>
      <c r="Z26" s="44">
        <v>46157</v>
      </c>
      <c r="AA26" s="46" t="s">
        <v>66</v>
      </c>
      <c r="AB26" s="47">
        <v>22</v>
      </c>
      <c r="AC26" s="1">
        <v>46171</v>
      </c>
      <c r="AD26" s="1">
        <v>46171</v>
      </c>
      <c r="AE26" s="3" t="s">
        <v>67</v>
      </c>
      <c r="AF26" s="3" t="s">
        <v>68</v>
      </c>
      <c r="AG26" s="3" t="s">
        <v>68</v>
      </c>
      <c r="AH26" s="3">
        <v>20.5</v>
      </c>
      <c r="AI26" s="3">
        <v>11.428571428571429</v>
      </c>
      <c r="AK26" s="3" t="s">
        <v>69</v>
      </c>
      <c r="AL26" t="s">
        <v>70</v>
      </c>
      <c r="AN26" t="s">
        <v>72</v>
      </c>
      <c r="AO26" t="s">
        <v>62</v>
      </c>
      <c r="AP26" s="10"/>
      <c r="AQ26" s="1">
        <v>46105</v>
      </c>
      <c r="AR26" s="48" t="e">
        <v>#N/A</v>
      </c>
      <c r="AS26">
        <v>5428</v>
      </c>
      <c r="AT26">
        <v>100</v>
      </c>
      <c r="AU26" t="s">
        <v>204</v>
      </c>
      <c r="AV26">
        <v>11.15</v>
      </c>
      <c r="AW26">
        <v>10.8</v>
      </c>
      <c r="AX26">
        <v>800</v>
      </c>
      <c r="AY26">
        <v>38</v>
      </c>
      <c r="AZ26">
        <v>29.5</v>
      </c>
      <c r="BA26">
        <v>19.5</v>
      </c>
      <c r="BB26">
        <v>2</v>
      </c>
      <c r="BC26" s="3" t="s">
        <v>202</v>
      </c>
      <c r="BD26" t="s">
        <v>74</v>
      </c>
      <c r="BE26" t="s">
        <v>75</v>
      </c>
      <c r="BF26" s="49" t="e">
        <v>#N/A</v>
      </c>
      <c r="BG26" s="50" t="s">
        <v>75</v>
      </c>
      <c r="BH26" s="50" t="s">
        <v>200</v>
      </c>
      <c r="BI26" s="50" t="s">
        <v>75</v>
      </c>
    </row>
    <row r="27" spans="1:61" x14ac:dyDescent="0.25">
      <c r="A27" s="1">
        <v>46077</v>
      </c>
      <c r="B27" t="s">
        <v>205</v>
      </c>
      <c r="C27" t="s">
        <v>206</v>
      </c>
      <c r="D27" t="s">
        <v>206</v>
      </c>
      <c r="E27" t="s">
        <v>207</v>
      </c>
      <c r="F27" t="s">
        <v>62</v>
      </c>
      <c r="G27" s="39"/>
      <c r="H27" s="10" t="s">
        <v>551</v>
      </c>
      <c r="I27" t="s">
        <v>208</v>
      </c>
      <c r="J27">
        <v>800</v>
      </c>
      <c r="K27" s="4" t="s">
        <v>64</v>
      </c>
      <c r="L27" s="40">
        <v>0</v>
      </c>
      <c r="M27" s="40">
        <v>800</v>
      </c>
      <c r="N27">
        <v>1.3340000000000001</v>
      </c>
      <c r="O27">
        <v>1067.2</v>
      </c>
      <c r="P27" t="s">
        <v>65</v>
      </c>
      <c r="Q27" s="6"/>
      <c r="R27" s="41">
        <v>7.79E-3</v>
      </c>
      <c r="S27" s="42">
        <v>6.2320000000000002</v>
      </c>
      <c r="T27" s="42" t="s">
        <v>209</v>
      </c>
      <c r="U27" s="43" t="s">
        <v>209</v>
      </c>
      <c r="V27" s="44">
        <v>46120</v>
      </c>
      <c r="W27" s="45">
        <v>46135</v>
      </c>
      <c r="X27" s="46" t="s">
        <v>66</v>
      </c>
      <c r="Y27" s="44">
        <v>46154</v>
      </c>
      <c r="Z27" s="44">
        <v>46157</v>
      </c>
      <c r="AA27" s="46" t="s">
        <v>66</v>
      </c>
      <c r="AB27" s="47">
        <v>22</v>
      </c>
      <c r="AC27" s="1">
        <v>46150</v>
      </c>
      <c r="AD27" s="1">
        <v>46150</v>
      </c>
      <c r="AE27" s="3" t="s">
        <v>67</v>
      </c>
      <c r="AF27" s="3" t="s">
        <v>69</v>
      </c>
      <c r="AG27" s="3" t="s">
        <v>69</v>
      </c>
      <c r="AH27" s="3">
        <v>20.5</v>
      </c>
      <c r="AI27" s="3">
        <v>11.428571428571429</v>
      </c>
      <c r="AK27" s="3" t="s">
        <v>69</v>
      </c>
      <c r="AL27" t="s">
        <v>70</v>
      </c>
      <c r="AM27" t="s">
        <v>71</v>
      </c>
      <c r="AN27" t="s">
        <v>72</v>
      </c>
      <c r="AO27" t="s">
        <v>62</v>
      </c>
      <c r="AP27" s="10"/>
      <c r="AQ27" s="1">
        <v>46105</v>
      </c>
      <c r="AR27" s="48" t="e">
        <v>#N/A</v>
      </c>
      <c r="AS27">
        <v>5426</v>
      </c>
      <c r="AT27">
        <v>100</v>
      </c>
      <c r="AU27" t="s">
        <v>210</v>
      </c>
      <c r="AV27">
        <v>0.8</v>
      </c>
      <c r="AW27">
        <v>3.04</v>
      </c>
      <c r="AX27">
        <v>2400</v>
      </c>
      <c r="AY27">
        <v>36.5</v>
      </c>
      <c r="AZ27">
        <v>35</v>
      </c>
      <c r="BA27">
        <v>8</v>
      </c>
      <c r="BB27">
        <v>1</v>
      </c>
      <c r="BC27" s="3" t="s">
        <v>207</v>
      </c>
      <c r="BD27" t="s">
        <v>211</v>
      </c>
      <c r="BE27" t="s">
        <v>75</v>
      </c>
      <c r="BF27" s="49" t="e">
        <v>#N/A</v>
      </c>
      <c r="BG27" s="50" t="s">
        <v>75</v>
      </c>
      <c r="BH27" s="50" t="s">
        <v>75</v>
      </c>
      <c r="BI27" s="50" t="s">
        <v>206</v>
      </c>
    </row>
    <row r="28" spans="1:61" x14ac:dyDescent="0.25">
      <c r="A28" s="1">
        <v>46077</v>
      </c>
      <c r="B28" t="s">
        <v>212</v>
      </c>
      <c r="C28" t="s">
        <v>213</v>
      </c>
      <c r="D28" t="s">
        <v>213</v>
      </c>
      <c r="E28" t="s">
        <v>214</v>
      </c>
      <c r="F28" t="s">
        <v>62</v>
      </c>
      <c r="G28" s="39"/>
      <c r="H28" s="10" t="s">
        <v>551</v>
      </c>
      <c r="I28" t="s">
        <v>215</v>
      </c>
      <c r="J28">
        <v>2000</v>
      </c>
      <c r="K28" s="4" t="s">
        <v>64</v>
      </c>
      <c r="L28" s="40">
        <v>0</v>
      </c>
      <c r="M28" s="40">
        <v>2000</v>
      </c>
      <c r="N28">
        <v>1.3129999999999999</v>
      </c>
      <c r="O28">
        <v>2626</v>
      </c>
      <c r="P28" t="s">
        <v>65</v>
      </c>
      <c r="Q28" s="6"/>
      <c r="R28" s="41">
        <v>1.294E-2</v>
      </c>
      <c r="S28" s="42">
        <v>25.88</v>
      </c>
      <c r="T28" s="42">
        <v>200</v>
      </c>
      <c r="U28" s="43">
        <v>1.25</v>
      </c>
      <c r="V28" s="44">
        <v>46117</v>
      </c>
      <c r="W28" s="45">
        <v>46132</v>
      </c>
      <c r="X28" s="46" t="s">
        <v>66</v>
      </c>
      <c r="Y28" s="44">
        <v>46154</v>
      </c>
      <c r="Z28" s="44">
        <v>46157</v>
      </c>
      <c r="AA28" s="46" t="s">
        <v>66</v>
      </c>
      <c r="AB28" s="47">
        <v>25</v>
      </c>
      <c r="AC28" s="1">
        <v>46171</v>
      </c>
      <c r="AD28" s="1">
        <v>46171</v>
      </c>
      <c r="AE28" s="3" t="s">
        <v>67</v>
      </c>
      <c r="AF28" s="3" t="s">
        <v>68</v>
      </c>
      <c r="AG28" s="3" t="s">
        <v>68</v>
      </c>
      <c r="AH28" s="3">
        <v>20.5</v>
      </c>
      <c r="AI28" s="3">
        <v>11.428571428571429</v>
      </c>
      <c r="AK28" s="3" t="s">
        <v>69</v>
      </c>
      <c r="AL28" t="s">
        <v>70</v>
      </c>
      <c r="AN28" t="s">
        <v>72</v>
      </c>
      <c r="AO28" t="s">
        <v>62</v>
      </c>
      <c r="AP28" s="10"/>
      <c r="AQ28" s="1">
        <v>46105</v>
      </c>
      <c r="AR28" s="48" t="e">
        <v>#N/A</v>
      </c>
      <c r="AS28">
        <v>5422</v>
      </c>
      <c r="AT28">
        <v>100</v>
      </c>
      <c r="AU28" t="s">
        <v>216</v>
      </c>
      <c r="AV28">
        <v>0.28999999999999998</v>
      </c>
      <c r="AW28">
        <v>2.91</v>
      </c>
      <c r="AX28">
        <v>1000</v>
      </c>
      <c r="AY28">
        <v>36</v>
      </c>
      <c r="AZ28">
        <v>34</v>
      </c>
      <c r="BA28">
        <v>24.5</v>
      </c>
      <c r="BB28">
        <v>2</v>
      </c>
      <c r="BC28" s="3" t="s">
        <v>214</v>
      </c>
      <c r="BD28" t="s">
        <v>74</v>
      </c>
      <c r="BE28" t="s">
        <v>75</v>
      </c>
      <c r="BF28" s="49" t="e">
        <v>#N/A</v>
      </c>
      <c r="BG28" s="50" t="s">
        <v>75</v>
      </c>
      <c r="BH28" s="50" t="s">
        <v>75</v>
      </c>
      <c r="BI28" s="50" t="s">
        <v>75</v>
      </c>
    </row>
    <row r="29" spans="1:61" x14ac:dyDescent="0.25">
      <c r="A29" s="1">
        <v>46079</v>
      </c>
      <c r="B29" t="s">
        <v>217</v>
      </c>
      <c r="C29" t="s">
        <v>218</v>
      </c>
      <c r="D29">
        <v>262101</v>
      </c>
      <c r="E29" t="s">
        <v>219</v>
      </c>
      <c r="F29" t="s">
        <v>62</v>
      </c>
      <c r="G29" s="39"/>
      <c r="H29" s="10" t="s">
        <v>551</v>
      </c>
      <c r="I29" t="s">
        <v>220</v>
      </c>
      <c r="J29">
        <v>3000</v>
      </c>
      <c r="K29" s="4" t="s">
        <v>64</v>
      </c>
      <c r="L29" s="40">
        <v>0</v>
      </c>
      <c r="M29" s="40">
        <v>3000</v>
      </c>
      <c r="N29">
        <v>0.55300000000000005</v>
      </c>
      <c r="O29">
        <v>1659</v>
      </c>
      <c r="P29" t="s">
        <v>65</v>
      </c>
      <c r="Q29" s="6"/>
      <c r="R29" s="41">
        <v>9.1699999999999993E-3</v>
      </c>
      <c r="S29" s="42">
        <v>27.509999999999998</v>
      </c>
      <c r="T29" s="42">
        <v>360</v>
      </c>
      <c r="U29" s="43">
        <v>1.0416666666666667</v>
      </c>
      <c r="V29" s="44">
        <v>46120</v>
      </c>
      <c r="W29" s="45">
        <v>46135</v>
      </c>
      <c r="X29" s="46" t="s">
        <v>66</v>
      </c>
      <c r="Y29" s="44">
        <v>46154</v>
      </c>
      <c r="Z29" s="44">
        <v>46157</v>
      </c>
      <c r="AA29" s="46" t="s">
        <v>66</v>
      </c>
      <c r="AB29" s="47">
        <v>22</v>
      </c>
      <c r="AC29" s="1">
        <v>46123</v>
      </c>
      <c r="AD29" s="1">
        <v>46157</v>
      </c>
      <c r="AE29" s="3">
        <v>14</v>
      </c>
      <c r="AF29" s="3" t="s">
        <v>68</v>
      </c>
      <c r="AG29" s="3" t="s">
        <v>69</v>
      </c>
      <c r="AH29" s="3">
        <v>18.5</v>
      </c>
      <c r="AI29" s="3">
        <v>11.142857142857142</v>
      </c>
      <c r="AK29" s="3" t="s">
        <v>69</v>
      </c>
      <c r="AL29" t="s">
        <v>80</v>
      </c>
      <c r="AN29" t="s">
        <v>72</v>
      </c>
      <c r="AO29" t="s">
        <v>62</v>
      </c>
      <c r="AP29" s="10"/>
      <c r="AQ29" s="1">
        <v>46107</v>
      </c>
      <c r="AR29" s="48" t="e">
        <v>#N/A</v>
      </c>
      <c r="AS29">
        <v>5463</v>
      </c>
      <c r="AT29">
        <v>100</v>
      </c>
      <c r="AU29" t="s">
        <v>221</v>
      </c>
      <c r="AV29">
        <v>0.62</v>
      </c>
      <c r="AW29">
        <v>3.18</v>
      </c>
      <c r="AX29">
        <v>1000</v>
      </c>
      <c r="AY29">
        <v>38</v>
      </c>
      <c r="AZ29">
        <v>29.5</v>
      </c>
      <c r="BA29">
        <v>19.5</v>
      </c>
      <c r="BB29">
        <v>3</v>
      </c>
      <c r="BC29" s="3" t="s">
        <v>219</v>
      </c>
      <c r="BD29" t="s">
        <v>74</v>
      </c>
      <c r="BE29" t="s">
        <v>75</v>
      </c>
      <c r="BF29" s="49" t="e">
        <v>#N/A</v>
      </c>
      <c r="BG29" s="50" t="s">
        <v>75</v>
      </c>
      <c r="BH29" s="50" t="s">
        <v>75</v>
      </c>
      <c r="BI29" s="50" t="s">
        <v>75</v>
      </c>
    </row>
    <row r="30" spans="1:61" x14ac:dyDescent="0.25">
      <c r="A30" s="1">
        <v>46079</v>
      </c>
      <c r="B30" t="s">
        <v>222</v>
      </c>
      <c r="C30" t="s">
        <v>223</v>
      </c>
      <c r="D30">
        <v>132204</v>
      </c>
      <c r="E30" t="s">
        <v>224</v>
      </c>
      <c r="F30" t="s">
        <v>62</v>
      </c>
      <c r="G30" s="39"/>
      <c r="H30" s="10" t="s">
        <v>551</v>
      </c>
      <c r="I30" t="s">
        <v>225</v>
      </c>
      <c r="J30">
        <v>1000</v>
      </c>
      <c r="K30" s="4" t="s">
        <v>64</v>
      </c>
      <c r="L30" s="40">
        <v>0</v>
      </c>
      <c r="M30" s="40">
        <v>1000</v>
      </c>
      <c r="N30">
        <v>1.4039999999999999</v>
      </c>
      <c r="O30">
        <v>1404</v>
      </c>
      <c r="P30" t="s">
        <v>65</v>
      </c>
      <c r="Q30" s="6"/>
      <c r="R30" s="41">
        <v>9.2099999999999994E-3</v>
      </c>
      <c r="S30" s="42">
        <v>9.2099999999999991</v>
      </c>
      <c r="T30" s="42">
        <v>500</v>
      </c>
      <c r="U30" s="43">
        <v>0.25</v>
      </c>
      <c r="V30" s="44">
        <v>46120</v>
      </c>
      <c r="W30" s="45">
        <v>46135</v>
      </c>
      <c r="X30" s="46" t="s">
        <v>66</v>
      </c>
      <c r="Y30" s="44">
        <v>46154</v>
      </c>
      <c r="Z30" s="44">
        <v>46157</v>
      </c>
      <c r="AA30" s="46" t="s">
        <v>66</v>
      </c>
      <c r="AB30" s="47">
        <v>22</v>
      </c>
      <c r="AC30" s="1">
        <v>46123</v>
      </c>
      <c r="AD30" s="1">
        <v>46157</v>
      </c>
      <c r="AE30" s="3">
        <v>0</v>
      </c>
      <c r="AF30" s="3" t="s">
        <v>68</v>
      </c>
      <c r="AG30" s="3" t="s">
        <v>69</v>
      </c>
      <c r="AH30" s="3">
        <v>18.5</v>
      </c>
      <c r="AI30" s="3">
        <v>11.142857142857142</v>
      </c>
      <c r="AK30" s="3" t="s">
        <v>69</v>
      </c>
      <c r="AL30" t="s">
        <v>80</v>
      </c>
      <c r="AN30" t="s">
        <v>72</v>
      </c>
      <c r="AO30" t="s">
        <v>62</v>
      </c>
      <c r="AP30" s="10"/>
      <c r="AQ30" s="1">
        <v>46107</v>
      </c>
      <c r="AR30" s="48" t="e">
        <v>#N/A</v>
      </c>
      <c r="AS30">
        <v>5458</v>
      </c>
      <c r="AT30">
        <v>100</v>
      </c>
      <c r="AU30" t="s">
        <v>226</v>
      </c>
      <c r="AV30">
        <v>2.68</v>
      </c>
      <c r="AW30">
        <v>4.9400000000000004</v>
      </c>
      <c r="AX30">
        <v>1000</v>
      </c>
      <c r="AY30">
        <v>38</v>
      </c>
      <c r="AZ30">
        <v>29.5</v>
      </c>
      <c r="BA30">
        <v>19.5</v>
      </c>
      <c r="BB30">
        <v>1</v>
      </c>
      <c r="BC30" s="3" t="s">
        <v>224</v>
      </c>
      <c r="BD30" t="s">
        <v>74</v>
      </c>
      <c r="BE30" t="s">
        <v>75</v>
      </c>
      <c r="BF30" s="49" t="e">
        <v>#N/A</v>
      </c>
      <c r="BG30" s="50" t="s">
        <v>75</v>
      </c>
      <c r="BH30" s="50" t="s">
        <v>75</v>
      </c>
      <c r="BI30" s="50" t="s">
        <v>75</v>
      </c>
    </row>
    <row r="31" spans="1:61" x14ac:dyDescent="0.25">
      <c r="A31" s="1">
        <v>46079</v>
      </c>
      <c r="B31" t="s">
        <v>227</v>
      </c>
      <c r="C31" t="s">
        <v>228</v>
      </c>
      <c r="D31" t="s">
        <v>228</v>
      </c>
      <c r="E31" t="s">
        <v>229</v>
      </c>
      <c r="F31" t="s">
        <v>62</v>
      </c>
      <c r="G31" s="39"/>
      <c r="H31" s="10" t="s">
        <v>551</v>
      </c>
      <c r="I31" t="s">
        <v>230</v>
      </c>
      <c r="J31">
        <v>1000</v>
      </c>
      <c r="K31" s="4" t="s">
        <v>64</v>
      </c>
      <c r="L31" s="40">
        <v>0</v>
      </c>
      <c r="M31" s="40">
        <v>1000</v>
      </c>
      <c r="N31">
        <v>0.61399999999999999</v>
      </c>
      <c r="O31">
        <v>614</v>
      </c>
      <c r="P31" t="s">
        <v>65</v>
      </c>
      <c r="Q31" s="6"/>
      <c r="R31" s="41">
        <v>8.26E-3</v>
      </c>
      <c r="S31" s="42">
        <v>8.26</v>
      </c>
      <c r="T31" s="42">
        <v>300</v>
      </c>
      <c r="U31" s="43">
        <v>0.41666666666666669</v>
      </c>
      <c r="V31" s="44">
        <v>46137</v>
      </c>
      <c r="W31" s="45">
        <v>46152</v>
      </c>
      <c r="X31" s="46" t="s">
        <v>66</v>
      </c>
      <c r="Y31" s="44">
        <v>46154</v>
      </c>
      <c r="Z31" s="44">
        <v>46157</v>
      </c>
      <c r="AA31" s="46" t="s">
        <v>66</v>
      </c>
      <c r="AB31" s="47">
        <v>5</v>
      </c>
      <c r="AC31" s="1">
        <v>46157</v>
      </c>
      <c r="AD31" s="1">
        <v>46157</v>
      </c>
      <c r="AE31" s="3" t="s">
        <v>67</v>
      </c>
      <c r="AF31" s="3" t="s">
        <v>68</v>
      </c>
      <c r="AG31" s="3" t="s">
        <v>68</v>
      </c>
      <c r="AH31" s="3">
        <v>18.5</v>
      </c>
      <c r="AI31" s="3">
        <v>11.142857142857142</v>
      </c>
      <c r="AK31" s="3" t="s">
        <v>69</v>
      </c>
      <c r="AL31" t="s">
        <v>70</v>
      </c>
      <c r="AM31" t="s">
        <v>71</v>
      </c>
      <c r="AN31" t="s">
        <v>72</v>
      </c>
      <c r="AO31" t="s">
        <v>62</v>
      </c>
      <c r="AP31" s="10"/>
      <c r="AQ31" s="1">
        <v>46107</v>
      </c>
      <c r="AR31" s="48" t="e">
        <v>#N/A</v>
      </c>
      <c r="AS31">
        <v>5455</v>
      </c>
      <c r="AT31">
        <v>100</v>
      </c>
      <c r="AU31" t="s">
        <v>231</v>
      </c>
      <c r="AV31">
        <v>0.31</v>
      </c>
      <c r="AW31">
        <v>2.4300000000000002</v>
      </c>
      <c r="AX31">
        <v>1000</v>
      </c>
      <c r="AY31">
        <v>36</v>
      </c>
      <c r="AZ31">
        <v>34</v>
      </c>
      <c r="BA31">
        <v>24.5</v>
      </c>
      <c r="BB31">
        <v>1</v>
      </c>
      <c r="BC31" s="3" t="s">
        <v>229</v>
      </c>
      <c r="BD31" t="s">
        <v>74</v>
      </c>
      <c r="BE31" t="s">
        <v>75</v>
      </c>
      <c r="BF31" s="49" t="e">
        <v>#N/A</v>
      </c>
      <c r="BG31" s="50" t="s">
        <v>75</v>
      </c>
      <c r="BH31" s="50" t="s">
        <v>75</v>
      </c>
      <c r="BI31" s="50" t="s">
        <v>75</v>
      </c>
    </row>
    <row r="32" spans="1:61" x14ac:dyDescent="0.25">
      <c r="A32" s="1">
        <v>46079</v>
      </c>
      <c r="B32" t="s">
        <v>232</v>
      </c>
      <c r="C32" t="s">
        <v>233</v>
      </c>
      <c r="D32">
        <v>132178</v>
      </c>
      <c r="E32" t="s">
        <v>234</v>
      </c>
      <c r="F32" t="s">
        <v>62</v>
      </c>
      <c r="G32" s="39"/>
      <c r="H32" s="10" t="s">
        <v>551</v>
      </c>
      <c r="I32" t="s">
        <v>235</v>
      </c>
      <c r="J32">
        <v>2000</v>
      </c>
      <c r="K32" s="4" t="s">
        <v>64</v>
      </c>
      <c r="L32" s="40">
        <v>0</v>
      </c>
      <c r="M32" s="40">
        <v>2000</v>
      </c>
      <c r="N32">
        <v>0.98499999999999999</v>
      </c>
      <c r="O32">
        <v>1970</v>
      </c>
      <c r="P32" t="s">
        <v>65</v>
      </c>
      <c r="Q32" s="6"/>
      <c r="R32" s="41">
        <v>8.0199999999999994E-3</v>
      </c>
      <c r="S32" s="42">
        <v>16.04</v>
      </c>
      <c r="T32" s="42">
        <v>400</v>
      </c>
      <c r="U32" s="43">
        <v>0.625</v>
      </c>
      <c r="V32" s="44">
        <v>46110</v>
      </c>
      <c r="W32" s="45">
        <v>46125</v>
      </c>
      <c r="X32" s="46" t="s">
        <v>66</v>
      </c>
      <c r="Y32" s="44">
        <v>46154</v>
      </c>
      <c r="Z32" s="44">
        <v>46157</v>
      </c>
      <c r="AA32" s="46" t="s">
        <v>66</v>
      </c>
      <c r="AB32" s="47">
        <v>32</v>
      </c>
      <c r="AC32" s="1">
        <v>46123</v>
      </c>
      <c r="AD32" s="1">
        <v>46157</v>
      </c>
      <c r="AE32" s="3" t="s">
        <v>67</v>
      </c>
      <c r="AF32" s="3" t="s">
        <v>68</v>
      </c>
      <c r="AG32" s="3" t="s">
        <v>69</v>
      </c>
      <c r="AH32" s="3">
        <v>18.5</v>
      </c>
      <c r="AI32" s="3">
        <v>11.142857142857142</v>
      </c>
      <c r="AK32" s="3" t="s">
        <v>69</v>
      </c>
      <c r="AL32" t="s">
        <v>80</v>
      </c>
      <c r="AN32" t="s">
        <v>72</v>
      </c>
      <c r="AO32" t="s">
        <v>62</v>
      </c>
      <c r="AP32" s="10"/>
      <c r="AQ32" s="1">
        <v>46107</v>
      </c>
      <c r="AR32" s="48" t="e">
        <v>#N/A</v>
      </c>
      <c r="AS32">
        <v>5454</v>
      </c>
      <c r="AT32">
        <v>100</v>
      </c>
      <c r="AU32" t="s">
        <v>236</v>
      </c>
      <c r="AV32">
        <v>3.57</v>
      </c>
      <c r="AW32">
        <v>5.88</v>
      </c>
      <c r="AX32">
        <v>1000</v>
      </c>
      <c r="AY32">
        <v>38</v>
      </c>
      <c r="AZ32">
        <v>29.5</v>
      </c>
      <c r="BA32">
        <v>19.5</v>
      </c>
      <c r="BB32">
        <v>2</v>
      </c>
      <c r="BC32" s="3" t="s">
        <v>234</v>
      </c>
      <c r="BD32" t="s">
        <v>74</v>
      </c>
      <c r="BE32" t="s">
        <v>75</v>
      </c>
      <c r="BF32" s="49" t="e">
        <v>#N/A</v>
      </c>
      <c r="BG32" s="50" t="s">
        <v>75</v>
      </c>
      <c r="BH32" s="50" t="s">
        <v>75</v>
      </c>
      <c r="BI32" s="50" t="s">
        <v>233</v>
      </c>
    </row>
    <row r="33" spans="1:61" x14ac:dyDescent="0.25">
      <c r="A33" s="1">
        <v>46083</v>
      </c>
      <c r="B33" t="s">
        <v>237</v>
      </c>
      <c r="C33" s="10" t="s">
        <v>238</v>
      </c>
      <c r="D33" s="10">
        <v>172219</v>
      </c>
      <c r="E33" t="s">
        <v>239</v>
      </c>
      <c r="F33" t="s">
        <v>62</v>
      </c>
      <c r="G33" s="39"/>
      <c r="H33" s="10" t="s">
        <v>551</v>
      </c>
      <c r="I33" t="s">
        <v>240</v>
      </c>
      <c r="J33" s="54">
        <v>3000</v>
      </c>
      <c r="K33" s="4" t="s">
        <v>64</v>
      </c>
      <c r="L33" s="40">
        <v>0</v>
      </c>
      <c r="M33" s="40">
        <v>3000</v>
      </c>
      <c r="N33" s="5">
        <v>3.887</v>
      </c>
      <c r="O33">
        <v>11661</v>
      </c>
      <c r="P33" t="s">
        <v>65</v>
      </c>
      <c r="Q33" s="6"/>
      <c r="R33" s="41">
        <v>1.5049999999999999E-2</v>
      </c>
      <c r="S33" s="42">
        <v>45.15</v>
      </c>
      <c r="T33" s="42">
        <v>350</v>
      </c>
      <c r="U33" s="43">
        <v>1.0714285714285714</v>
      </c>
      <c r="V33" s="44">
        <v>46138</v>
      </c>
      <c r="W33" s="45">
        <v>46153</v>
      </c>
      <c r="X33" s="46" t="s">
        <v>66</v>
      </c>
      <c r="Y33" s="44">
        <v>46154</v>
      </c>
      <c r="Z33" s="44">
        <v>46157</v>
      </c>
      <c r="AA33" s="46" t="s">
        <v>66</v>
      </c>
      <c r="AB33" s="47">
        <v>4</v>
      </c>
      <c r="AC33" s="1">
        <v>46164</v>
      </c>
      <c r="AD33" s="1">
        <v>46164</v>
      </c>
      <c r="AE33" s="3">
        <v>0</v>
      </c>
      <c r="AF33" s="3" t="s">
        <v>68</v>
      </c>
      <c r="AG33" s="3" t="s">
        <v>68</v>
      </c>
      <c r="AH33" s="3">
        <v>14.5</v>
      </c>
      <c r="AI33" s="3">
        <v>10.571428571428571</v>
      </c>
      <c r="AK33" s="3" t="s">
        <v>69</v>
      </c>
      <c r="AL33" t="s">
        <v>70</v>
      </c>
      <c r="AM33" t="s">
        <v>71</v>
      </c>
      <c r="AN33" t="s">
        <v>72</v>
      </c>
      <c r="AO33" t="s">
        <v>62</v>
      </c>
      <c r="AP33" s="10"/>
      <c r="AQ33" s="1">
        <v>46111</v>
      </c>
      <c r="AR33" s="48" t="e">
        <v>#N/A</v>
      </c>
      <c r="AS33">
        <v>5526</v>
      </c>
      <c r="AT33">
        <v>100</v>
      </c>
      <c r="AU33" t="s">
        <v>241</v>
      </c>
      <c r="AV33">
        <v>44.566000000000003</v>
      </c>
      <c r="AW33">
        <v>14.58</v>
      </c>
      <c r="AX33">
        <v>300</v>
      </c>
      <c r="AY33">
        <v>38</v>
      </c>
      <c r="AZ33">
        <v>29.5</v>
      </c>
      <c r="BA33">
        <v>19.5</v>
      </c>
      <c r="BB33">
        <v>10</v>
      </c>
      <c r="BC33" s="3" t="s">
        <v>239</v>
      </c>
      <c r="BD33" t="s">
        <v>74</v>
      </c>
      <c r="BE33" t="s">
        <v>75</v>
      </c>
      <c r="BF33" s="49" t="e">
        <v>#N/A</v>
      </c>
      <c r="BG33" s="50" t="s">
        <v>75</v>
      </c>
      <c r="BH33" s="50" t="s">
        <v>75</v>
      </c>
      <c r="BI33" s="50" t="s">
        <v>75</v>
      </c>
    </row>
    <row r="34" spans="1:61" x14ac:dyDescent="0.25">
      <c r="A34" s="1">
        <v>46083</v>
      </c>
      <c r="B34" t="s">
        <v>242</v>
      </c>
      <c r="C34" s="10" t="s">
        <v>243</v>
      </c>
      <c r="D34" s="10">
        <v>122116</v>
      </c>
      <c r="E34" t="s">
        <v>244</v>
      </c>
      <c r="F34" t="s">
        <v>62</v>
      </c>
      <c r="G34" s="39"/>
      <c r="H34" s="10" t="s">
        <v>551</v>
      </c>
      <c r="I34" t="s">
        <v>245</v>
      </c>
      <c r="J34" s="54">
        <v>2000</v>
      </c>
      <c r="K34" s="4" t="s">
        <v>64</v>
      </c>
      <c r="L34" s="40">
        <v>0</v>
      </c>
      <c r="M34" s="40">
        <v>2000</v>
      </c>
      <c r="N34" s="5">
        <v>0.91400000000000003</v>
      </c>
      <c r="O34">
        <v>1828</v>
      </c>
      <c r="P34" t="s">
        <v>65</v>
      </c>
      <c r="Q34" s="6"/>
      <c r="R34" s="41">
        <v>1.137E-2</v>
      </c>
      <c r="S34" s="42">
        <v>22.74</v>
      </c>
      <c r="T34" s="42">
        <v>450</v>
      </c>
      <c r="U34" s="43">
        <v>0.55555555555555558</v>
      </c>
      <c r="V34" s="44">
        <v>46138</v>
      </c>
      <c r="W34" s="45">
        <v>46153</v>
      </c>
      <c r="X34" s="46" t="s">
        <v>66</v>
      </c>
      <c r="Y34" s="44">
        <v>46154</v>
      </c>
      <c r="Z34" s="44">
        <v>46157</v>
      </c>
      <c r="AA34" s="46" t="s">
        <v>66</v>
      </c>
      <c r="AB34" s="47">
        <v>4</v>
      </c>
      <c r="AC34" s="1">
        <v>46164</v>
      </c>
      <c r="AD34" s="1">
        <v>46164</v>
      </c>
      <c r="AE34" s="3">
        <v>14</v>
      </c>
      <c r="AF34" s="3" t="s">
        <v>68</v>
      </c>
      <c r="AG34" s="3" t="s">
        <v>68</v>
      </c>
      <c r="AH34" s="3">
        <v>14.5</v>
      </c>
      <c r="AI34" s="3">
        <v>10.571428571428571</v>
      </c>
      <c r="AK34" s="3" t="s">
        <v>69</v>
      </c>
      <c r="AL34" t="s">
        <v>70</v>
      </c>
      <c r="AM34" t="s">
        <v>71</v>
      </c>
      <c r="AN34" t="s">
        <v>72</v>
      </c>
      <c r="AO34" t="s">
        <v>62</v>
      </c>
      <c r="AP34" s="10"/>
      <c r="AQ34" s="1">
        <v>46111</v>
      </c>
      <c r="AR34" s="48" t="e">
        <v>#N/A</v>
      </c>
      <c r="AS34">
        <v>5521</v>
      </c>
      <c r="AT34">
        <v>100</v>
      </c>
      <c r="AU34" t="s">
        <v>246</v>
      </c>
      <c r="AV34">
        <v>12.333</v>
      </c>
      <c r="AW34">
        <v>9.16</v>
      </c>
      <c r="AX34">
        <v>600</v>
      </c>
      <c r="AY34">
        <v>38</v>
      </c>
      <c r="AZ34">
        <v>29.5</v>
      </c>
      <c r="BA34">
        <v>19.5</v>
      </c>
      <c r="BB34">
        <v>4</v>
      </c>
      <c r="BC34" s="3" t="s">
        <v>244</v>
      </c>
      <c r="BD34" t="s">
        <v>74</v>
      </c>
      <c r="BE34" t="s">
        <v>75</v>
      </c>
      <c r="BF34" s="49" t="e">
        <v>#N/A</v>
      </c>
      <c r="BG34" s="50" t="s">
        <v>75</v>
      </c>
      <c r="BH34" s="50" t="s">
        <v>75</v>
      </c>
      <c r="BI34" s="50" t="s">
        <v>75</v>
      </c>
    </row>
    <row r="35" spans="1:61" x14ac:dyDescent="0.25">
      <c r="A35" s="1">
        <v>46083</v>
      </c>
      <c r="B35" t="s">
        <v>184</v>
      </c>
      <c r="C35" s="10">
        <v>27000</v>
      </c>
      <c r="D35" s="10" t="s">
        <v>185</v>
      </c>
      <c r="E35" t="s">
        <v>247</v>
      </c>
      <c r="F35" t="s">
        <v>62</v>
      </c>
      <c r="G35" s="39"/>
      <c r="H35" s="10" t="s">
        <v>551</v>
      </c>
      <c r="I35" t="s">
        <v>248</v>
      </c>
      <c r="J35" s="54">
        <v>2000</v>
      </c>
      <c r="K35" s="4" t="s">
        <v>64</v>
      </c>
      <c r="L35" s="40">
        <v>0</v>
      </c>
      <c r="M35" s="40">
        <v>2000</v>
      </c>
      <c r="N35" s="5">
        <v>1.391</v>
      </c>
      <c r="O35">
        <v>2782</v>
      </c>
      <c r="P35" t="s">
        <v>65</v>
      </c>
      <c r="Q35" s="6"/>
      <c r="R35" s="41">
        <v>8.0400000000000003E-3</v>
      </c>
      <c r="S35" s="42">
        <v>16.080000000000002</v>
      </c>
      <c r="T35" s="42">
        <v>400</v>
      </c>
      <c r="U35" s="43">
        <v>0.625</v>
      </c>
      <c r="V35" s="44">
        <v>46129</v>
      </c>
      <c r="W35" s="45">
        <v>46144</v>
      </c>
      <c r="X35" s="46" t="s">
        <v>66</v>
      </c>
      <c r="Y35" s="44">
        <v>46154</v>
      </c>
      <c r="Z35" s="44">
        <v>46157</v>
      </c>
      <c r="AA35" s="46" t="s">
        <v>66</v>
      </c>
      <c r="AB35" s="47">
        <v>13</v>
      </c>
      <c r="AC35" s="1">
        <v>46157</v>
      </c>
      <c r="AD35" s="1">
        <v>46157</v>
      </c>
      <c r="AE35" s="3" t="s">
        <v>67</v>
      </c>
      <c r="AF35" s="3" t="s">
        <v>68</v>
      </c>
      <c r="AG35" s="3" t="s">
        <v>68</v>
      </c>
      <c r="AH35" s="3">
        <v>14.5</v>
      </c>
      <c r="AI35" s="3">
        <v>10.571428571428571</v>
      </c>
      <c r="AK35" s="3" t="s">
        <v>69</v>
      </c>
      <c r="AL35" t="s">
        <v>70</v>
      </c>
      <c r="AM35" t="s">
        <v>71</v>
      </c>
      <c r="AN35" t="s">
        <v>72</v>
      </c>
      <c r="AO35" t="s">
        <v>62</v>
      </c>
      <c r="AP35" s="10"/>
      <c r="AQ35" s="1">
        <v>46111</v>
      </c>
      <c r="AR35" s="48" t="e">
        <v>#N/A</v>
      </c>
      <c r="AS35">
        <v>5508</v>
      </c>
      <c r="AT35">
        <v>100</v>
      </c>
      <c r="AU35" t="s">
        <v>249</v>
      </c>
      <c r="AV35">
        <v>10.1</v>
      </c>
      <c r="AW35">
        <v>9.0742999999999991</v>
      </c>
      <c r="AX35">
        <v>700</v>
      </c>
      <c r="AY35">
        <v>38</v>
      </c>
      <c r="AZ35">
        <v>29.5</v>
      </c>
      <c r="BA35">
        <v>19.5</v>
      </c>
      <c r="BB35">
        <v>3</v>
      </c>
      <c r="BC35" s="3" t="s">
        <v>247</v>
      </c>
      <c r="BD35" t="s">
        <v>74</v>
      </c>
      <c r="BE35" t="s">
        <v>75</v>
      </c>
      <c r="BF35" s="49" t="e">
        <v>#N/A</v>
      </c>
      <c r="BG35" s="50" t="s">
        <v>75</v>
      </c>
      <c r="BH35" s="50" t="s">
        <v>75</v>
      </c>
      <c r="BI35" s="50" t="s">
        <v>75</v>
      </c>
    </row>
    <row r="36" spans="1:61" x14ac:dyDescent="0.25">
      <c r="A36" s="1">
        <v>46084</v>
      </c>
      <c r="B36" t="s">
        <v>250</v>
      </c>
      <c r="C36" t="s">
        <v>251</v>
      </c>
      <c r="D36" s="55" t="s">
        <v>252</v>
      </c>
      <c r="E36" t="s">
        <v>253</v>
      </c>
      <c r="F36" t="s">
        <v>62</v>
      </c>
      <c r="G36" s="39"/>
      <c r="H36" s="10" t="s">
        <v>551</v>
      </c>
      <c r="I36" t="s">
        <v>254</v>
      </c>
      <c r="J36">
        <v>2000</v>
      </c>
      <c r="K36" s="4" t="s">
        <v>64</v>
      </c>
      <c r="L36" s="40">
        <v>0</v>
      </c>
      <c r="M36" s="40">
        <v>2000</v>
      </c>
      <c r="N36">
        <v>1.6639999999999999</v>
      </c>
      <c r="O36">
        <v>3328</v>
      </c>
      <c r="P36" t="s">
        <v>65</v>
      </c>
      <c r="Q36" s="6"/>
      <c r="R36" s="41">
        <v>9.4999999999999998E-3</v>
      </c>
      <c r="S36" s="42">
        <v>19</v>
      </c>
      <c r="T36" s="42">
        <v>480</v>
      </c>
      <c r="U36" s="43">
        <v>0.52083333333333337</v>
      </c>
      <c r="V36" s="44">
        <v>46120</v>
      </c>
      <c r="W36" s="45">
        <v>46135</v>
      </c>
      <c r="X36" s="46" t="s">
        <v>66</v>
      </c>
      <c r="Y36" s="44">
        <v>46154</v>
      </c>
      <c r="Z36" s="44">
        <v>46157</v>
      </c>
      <c r="AA36" s="46" t="s">
        <v>66</v>
      </c>
      <c r="AB36" s="47">
        <v>22</v>
      </c>
      <c r="AC36" s="1">
        <v>46130</v>
      </c>
      <c r="AD36" s="1">
        <v>46157</v>
      </c>
      <c r="AE36" s="3">
        <v>0</v>
      </c>
      <c r="AF36" s="3" t="s">
        <v>68</v>
      </c>
      <c r="AG36" s="3" t="s">
        <v>69</v>
      </c>
      <c r="AH36" s="3">
        <v>13.5</v>
      </c>
      <c r="AI36" s="3">
        <v>10.428571428571429</v>
      </c>
      <c r="AK36" s="3" t="s">
        <v>69</v>
      </c>
      <c r="AL36" t="s">
        <v>80</v>
      </c>
      <c r="AN36" t="s">
        <v>72</v>
      </c>
      <c r="AO36" t="s">
        <v>62</v>
      </c>
      <c r="AP36" s="10"/>
      <c r="AQ36" s="1">
        <v>46112</v>
      </c>
      <c r="AR36" s="48" t="e">
        <v>#N/A</v>
      </c>
      <c r="AS36">
        <v>5538</v>
      </c>
      <c r="AT36">
        <v>100</v>
      </c>
      <c r="AU36" t="s">
        <v>255</v>
      </c>
      <c r="AV36">
        <v>15.36</v>
      </c>
      <c r="AW36">
        <v>13.2263</v>
      </c>
      <c r="AX36">
        <v>700</v>
      </c>
      <c r="AY36">
        <v>36</v>
      </c>
      <c r="AZ36">
        <v>34</v>
      </c>
      <c r="BA36">
        <v>24.5</v>
      </c>
      <c r="BB36">
        <v>3</v>
      </c>
      <c r="BC36" s="3" t="s">
        <v>253</v>
      </c>
      <c r="BD36" t="s">
        <v>74</v>
      </c>
      <c r="BE36" t="s">
        <v>75</v>
      </c>
      <c r="BF36" s="49" t="e">
        <v>#N/A</v>
      </c>
      <c r="BG36" s="50" t="s">
        <v>75</v>
      </c>
      <c r="BH36" s="50" t="s">
        <v>251</v>
      </c>
      <c r="BI36" s="50" t="s">
        <v>75</v>
      </c>
    </row>
    <row r="37" spans="1:61" x14ac:dyDescent="0.25">
      <c r="A37" s="1">
        <v>46085</v>
      </c>
      <c r="B37" t="s">
        <v>256</v>
      </c>
      <c r="C37" t="s">
        <v>257</v>
      </c>
      <c r="D37" t="s">
        <v>258</v>
      </c>
      <c r="E37" t="s">
        <v>259</v>
      </c>
      <c r="F37" t="s">
        <v>62</v>
      </c>
      <c r="G37" s="39"/>
      <c r="H37" s="10" t="s">
        <v>551</v>
      </c>
      <c r="I37" t="s">
        <v>260</v>
      </c>
      <c r="J37">
        <v>1000</v>
      </c>
      <c r="K37" s="4" t="s">
        <v>64</v>
      </c>
      <c r="L37" s="40">
        <v>0</v>
      </c>
      <c r="M37" s="40">
        <v>1000</v>
      </c>
      <c r="N37">
        <v>1.393</v>
      </c>
      <c r="O37">
        <v>1393</v>
      </c>
      <c r="P37" t="s">
        <v>65</v>
      </c>
      <c r="Q37" s="6"/>
      <c r="R37" s="41">
        <v>1.251E-2</v>
      </c>
      <c r="S37" s="42">
        <v>12.51</v>
      </c>
      <c r="T37" s="42">
        <v>400</v>
      </c>
      <c r="U37" s="43">
        <v>0.3125</v>
      </c>
      <c r="V37" s="44">
        <v>46138</v>
      </c>
      <c r="W37" s="45">
        <v>46153</v>
      </c>
      <c r="X37" s="46" t="s">
        <v>66</v>
      </c>
      <c r="Y37" s="44">
        <v>46154</v>
      </c>
      <c r="Z37" s="44">
        <v>46157</v>
      </c>
      <c r="AA37" s="46" t="s">
        <v>66</v>
      </c>
      <c r="AB37" s="47">
        <v>4</v>
      </c>
      <c r="AC37" s="1">
        <v>46164</v>
      </c>
      <c r="AD37" s="1">
        <v>46164</v>
      </c>
      <c r="AE37" s="3" t="s">
        <v>67</v>
      </c>
      <c r="AF37" s="3" t="s">
        <v>68</v>
      </c>
      <c r="AG37" s="3" t="s">
        <v>68</v>
      </c>
      <c r="AH37" s="3">
        <v>12.5</v>
      </c>
      <c r="AI37" s="3">
        <v>10.285714285714286</v>
      </c>
      <c r="AK37" s="3" t="s">
        <v>69</v>
      </c>
      <c r="AL37" t="s">
        <v>70</v>
      </c>
      <c r="AM37" t="s">
        <v>71</v>
      </c>
      <c r="AN37" t="s">
        <v>72</v>
      </c>
      <c r="AO37" t="s">
        <v>62</v>
      </c>
      <c r="AP37" s="10"/>
      <c r="AQ37" s="1">
        <v>46113</v>
      </c>
      <c r="AR37" s="48" t="e">
        <v>#N/A</v>
      </c>
      <c r="AS37">
        <v>5560</v>
      </c>
      <c r="AT37">
        <v>100</v>
      </c>
      <c r="AU37" t="s">
        <v>261</v>
      </c>
      <c r="AV37">
        <v>8.98</v>
      </c>
      <c r="AW37">
        <v>9.15</v>
      </c>
      <c r="AX37">
        <v>800</v>
      </c>
      <c r="AY37">
        <v>38</v>
      </c>
      <c r="AZ37">
        <v>29.5</v>
      </c>
      <c r="BA37">
        <v>19.5</v>
      </c>
      <c r="BB37">
        <v>2</v>
      </c>
      <c r="BC37" s="3" t="s">
        <v>259</v>
      </c>
      <c r="BD37" t="s">
        <v>74</v>
      </c>
      <c r="BE37" t="s">
        <v>75</v>
      </c>
      <c r="BF37" s="49" t="e">
        <v>#N/A</v>
      </c>
      <c r="BG37" s="50" t="s">
        <v>75</v>
      </c>
      <c r="BH37" s="50" t="s">
        <v>75</v>
      </c>
      <c r="BI37" s="50" t="s">
        <v>75</v>
      </c>
    </row>
    <row r="38" spans="1:61" x14ac:dyDescent="0.25">
      <c r="A38" s="1">
        <v>46085</v>
      </c>
      <c r="B38" t="s">
        <v>262</v>
      </c>
      <c r="C38" t="s">
        <v>263</v>
      </c>
      <c r="D38">
        <v>112372</v>
      </c>
      <c r="E38" t="s">
        <v>264</v>
      </c>
      <c r="F38" t="s">
        <v>62</v>
      </c>
      <c r="G38" s="39"/>
      <c r="H38" s="10" t="s">
        <v>551</v>
      </c>
      <c r="I38" t="s">
        <v>265</v>
      </c>
      <c r="J38">
        <v>100</v>
      </c>
      <c r="K38" s="4" t="s">
        <v>64</v>
      </c>
      <c r="L38" s="40">
        <v>0</v>
      </c>
      <c r="M38" s="40">
        <v>100</v>
      </c>
      <c r="N38">
        <v>1.2089999999999999</v>
      </c>
      <c r="O38">
        <v>120.9</v>
      </c>
      <c r="P38" t="s">
        <v>65</v>
      </c>
      <c r="Q38" s="6"/>
      <c r="R38" s="41">
        <v>4.7299999999999998E-3</v>
      </c>
      <c r="S38" s="42">
        <v>0.47299999999999998</v>
      </c>
      <c r="T38" s="42" t="s">
        <v>209</v>
      </c>
      <c r="U38" s="43" t="s">
        <v>209</v>
      </c>
      <c r="V38" s="44">
        <v>46138</v>
      </c>
      <c r="W38" s="45">
        <v>46153</v>
      </c>
      <c r="X38" s="46" t="s">
        <v>66</v>
      </c>
      <c r="Y38" s="44">
        <v>46154</v>
      </c>
      <c r="Z38" s="44">
        <v>46157</v>
      </c>
      <c r="AA38" s="46" t="s">
        <v>66</v>
      </c>
      <c r="AB38" s="47">
        <v>4</v>
      </c>
      <c r="AC38" s="1">
        <v>46164</v>
      </c>
      <c r="AD38" s="1">
        <v>46164</v>
      </c>
      <c r="AE38" s="3">
        <v>7</v>
      </c>
      <c r="AF38" s="3" t="s">
        <v>68</v>
      </c>
      <c r="AG38" s="3" t="s">
        <v>68</v>
      </c>
      <c r="AH38" s="3">
        <v>12.5</v>
      </c>
      <c r="AI38" s="3">
        <v>10.285714285714286</v>
      </c>
      <c r="AK38" s="3" t="s">
        <v>69</v>
      </c>
      <c r="AL38" t="s">
        <v>70</v>
      </c>
      <c r="AM38" t="s">
        <v>71</v>
      </c>
      <c r="AN38" t="s">
        <v>72</v>
      </c>
      <c r="AO38" t="s">
        <v>62</v>
      </c>
      <c r="AP38" s="10"/>
      <c r="AQ38" s="1">
        <v>46113</v>
      </c>
      <c r="AR38" s="48" t="e">
        <v>#N/A</v>
      </c>
      <c r="AS38">
        <v>5556</v>
      </c>
      <c r="AT38">
        <v>100</v>
      </c>
      <c r="AU38" t="s">
        <v>266</v>
      </c>
      <c r="AV38">
        <v>14.77</v>
      </c>
      <c r="AW38">
        <v>14.29</v>
      </c>
      <c r="AX38">
        <v>800</v>
      </c>
      <c r="AY38">
        <v>36</v>
      </c>
      <c r="AZ38">
        <v>34</v>
      </c>
      <c r="BA38">
        <v>24.5</v>
      </c>
      <c r="BB38">
        <v>1</v>
      </c>
      <c r="BC38" s="3" t="s">
        <v>264</v>
      </c>
      <c r="BD38" t="s">
        <v>74</v>
      </c>
      <c r="BE38" t="s">
        <v>75</v>
      </c>
      <c r="BF38" s="49" t="e">
        <v>#N/A</v>
      </c>
      <c r="BG38" s="50" t="s">
        <v>75</v>
      </c>
      <c r="BH38" s="50" t="s">
        <v>75</v>
      </c>
      <c r="BI38" s="50" t="s">
        <v>75</v>
      </c>
    </row>
    <row r="39" spans="1:61" x14ac:dyDescent="0.25">
      <c r="A39" s="1">
        <v>46085</v>
      </c>
      <c r="B39" t="s">
        <v>267</v>
      </c>
      <c r="C39" t="s">
        <v>268</v>
      </c>
      <c r="D39">
        <v>112517</v>
      </c>
      <c r="E39" t="s">
        <v>269</v>
      </c>
      <c r="F39" t="s">
        <v>62</v>
      </c>
      <c r="G39" s="39"/>
      <c r="H39" s="10" t="s">
        <v>551</v>
      </c>
      <c r="I39" t="s">
        <v>270</v>
      </c>
      <c r="J39">
        <v>500</v>
      </c>
      <c r="K39" s="4" t="s">
        <v>64</v>
      </c>
      <c r="L39" s="40">
        <v>0</v>
      </c>
      <c r="M39" s="40">
        <v>500</v>
      </c>
      <c r="N39">
        <v>1.6369999999999998</v>
      </c>
      <c r="O39">
        <v>818.5</v>
      </c>
      <c r="P39" t="s">
        <v>65</v>
      </c>
      <c r="Q39" s="6"/>
      <c r="R39" s="41">
        <v>1.167E-2</v>
      </c>
      <c r="S39" s="42">
        <v>5.835</v>
      </c>
      <c r="T39" s="42">
        <v>400</v>
      </c>
      <c r="U39" s="43">
        <v>0.15625</v>
      </c>
      <c r="V39" s="44">
        <v>46138</v>
      </c>
      <c r="W39" s="45">
        <v>46153</v>
      </c>
      <c r="X39" s="46" t="s">
        <v>66</v>
      </c>
      <c r="Y39" s="44">
        <v>46154</v>
      </c>
      <c r="Z39" s="44">
        <v>46157</v>
      </c>
      <c r="AA39" s="46" t="s">
        <v>66</v>
      </c>
      <c r="AB39" s="47">
        <v>4</v>
      </c>
      <c r="AC39" s="1">
        <v>46164</v>
      </c>
      <c r="AD39" s="1">
        <v>46164</v>
      </c>
      <c r="AE39" s="3">
        <v>14</v>
      </c>
      <c r="AF39" s="3" t="s">
        <v>68</v>
      </c>
      <c r="AG39" s="3" t="s">
        <v>68</v>
      </c>
      <c r="AH39" s="3">
        <v>12.5</v>
      </c>
      <c r="AI39" s="3">
        <v>10.285714285714286</v>
      </c>
      <c r="AK39" s="3" t="s">
        <v>69</v>
      </c>
      <c r="AL39" t="s">
        <v>70</v>
      </c>
      <c r="AM39" t="s">
        <v>71</v>
      </c>
      <c r="AN39" t="s">
        <v>72</v>
      </c>
      <c r="AO39" t="s">
        <v>62</v>
      </c>
      <c r="AP39" s="10"/>
      <c r="AQ39" s="1">
        <v>46113</v>
      </c>
      <c r="AR39" s="48" t="e">
        <v>#N/A</v>
      </c>
      <c r="AS39">
        <v>5554</v>
      </c>
      <c r="AT39">
        <v>100</v>
      </c>
      <c r="AU39" t="s">
        <v>271</v>
      </c>
      <c r="AV39">
        <v>16.3</v>
      </c>
      <c r="AW39">
        <v>13.65</v>
      </c>
      <c r="AX39">
        <v>700</v>
      </c>
      <c r="AY39">
        <v>36</v>
      </c>
      <c r="AZ39">
        <v>33</v>
      </c>
      <c r="BA39">
        <v>23</v>
      </c>
      <c r="BB39">
        <v>1</v>
      </c>
      <c r="BC39" s="3" t="s">
        <v>269</v>
      </c>
      <c r="BD39" t="s">
        <v>74</v>
      </c>
      <c r="BE39" t="s">
        <v>75</v>
      </c>
      <c r="BF39" s="49" t="e">
        <v>#N/A</v>
      </c>
      <c r="BG39" s="50" t="s">
        <v>75</v>
      </c>
      <c r="BH39" s="50" t="s">
        <v>75</v>
      </c>
      <c r="BI39" s="50" t="s">
        <v>75</v>
      </c>
    </row>
    <row r="40" spans="1:61" x14ac:dyDescent="0.25">
      <c r="A40" s="1">
        <v>46086</v>
      </c>
      <c r="B40" t="s">
        <v>189</v>
      </c>
      <c r="C40" t="s">
        <v>190</v>
      </c>
      <c r="D40">
        <v>202112</v>
      </c>
      <c r="E40" t="s">
        <v>272</v>
      </c>
      <c r="F40" t="s">
        <v>62</v>
      </c>
      <c r="G40" s="39"/>
      <c r="H40" s="10" t="s">
        <v>551</v>
      </c>
      <c r="I40" t="s">
        <v>273</v>
      </c>
      <c r="J40">
        <v>2500</v>
      </c>
      <c r="K40" s="4" t="s">
        <v>64</v>
      </c>
      <c r="L40" s="40">
        <v>0</v>
      </c>
      <c r="M40" s="40">
        <v>2500</v>
      </c>
      <c r="N40" s="5">
        <v>0.61699999999999999</v>
      </c>
      <c r="O40">
        <v>1542.5</v>
      </c>
      <c r="P40" t="s">
        <v>65</v>
      </c>
      <c r="Q40" s="6"/>
      <c r="R40" s="41">
        <v>5.4299999999999999E-3</v>
      </c>
      <c r="S40" s="42">
        <v>13.574999999999999</v>
      </c>
      <c r="T40" s="42">
        <v>400</v>
      </c>
      <c r="U40" s="43">
        <v>0.78125</v>
      </c>
      <c r="V40" s="44">
        <v>46120</v>
      </c>
      <c r="W40" s="45">
        <v>46135</v>
      </c>
      <c r="X40" s="46" t="s">
        <v>66</v>
      </c>
      <c r="Y40" s="44">
        <v>46154</v>
      </c>
      <c r="Z40" s="44">
        <v>46157</v>
      </c>
      <c r="AA40" s="46" t="s">
        <v>66</v>
      </c>
      <c r="AB40" s="47">
        <v>22</v>
      </c>
      <c r="AC40" s="1">
        <v>46171</v>
      </c>
      <c r="AD40" s="1">
        <v>46171</v>
      </c>
      <c r="AE40" s="3">
        <v>14</v>
      </c>
      <c r="AF40" s="3" t="s">
        <v>68</v>
      </c>
      <c r="AG40" s="3" t="s">
        <v>68</v>
      </c>
      <c r="AH40" s="3">
        <v>11.5</v>
      </c>
      <c r="AI40" s="3">
        <v>10.142857142857142</v>
      </c>
      <c r="AK40" s="3" t="s">
        <v>69</v>
      </c>
      <c r="AL40" t="s">
        <v>70</v>
      </c>
      <c r="AN40" t="s">
        <v>72</v>
      </c>
      <c r="AO40" t="s">
        <v>62</v>
      </c>
      <c r="AP40" s="10"/>
      <c r="AQ40" s="1">
        <v>46114</v>
      </c>
      <c r="AR40" s="48" t="e">
        <v>#N/A</v>
      </c>
      <c r="AS40">
        <v>5583</v>
      </c>
      <c r="AT40">
        <v>100</v>
      </c>
      <c r="AU40" t="s">
        <v>274</v>
      </c>
      <c r="AV40">
        <v>2.52</v>
      </c>
      <c r="AW40">
        <v>5.08</v>
      </c>
      <c r="AX40">
        <v>1000</v>
      </c>
      <c r="AY40">
        <v>38</v>
      </c>
      <c r="AZ40">
        <v>29.5</v>
      </c>
      <c r="BA40">
        <v>19.5</v>
      </c>
      <c r="BB40">
        <v>3</v>
      </c>
      <c r="BC40" s="3" t="s">
        <v>272</v>
      </c>
      <c r="BD40" t="s">
        <v>74</v>
      </c>
      <c r="BE40" t="s">
        <v>75</v>
      </c>
      <c r="BF40" s="49" t="e">
        <v>#N/A</v>
      </c>
      <c r="BG40" s="50" t="s">
        <v>75</v>
      </c>
      <c r="BH40" s="50" t="s">
        <v>75</v>
      </c>
      <c r="BI40" s="50" t="s">
        <v>75</v>
      </c>
    </row>
    <row r="41" spans="1:61" x14ac:dyDescent="0.25">
      <c r="A41" s="1">
        <v>46085</v>
      </c>
      <c r="B41" s="1" t="s">
        <v>275</v>
      </c>
      <c r="C41" t="s">
        <v>276</v>
      </c>
      <c r="D41" s="56" t="s">
        <v>276</v>
      </c>
      <c r="E41" s="1" t="s">
        <v>277</v>
      </c>
      <c r="F41" s="1" t="s">
        <v>278</v>
      </c>
      <c r="G41" s="39"/>
      <c r="H41" s="10" t="s">
        <v>551</v>
      </c>
      <c r="I41" s="1" t="s">
        <v>279</v>
      </c>
      <c r="J41">
        <v>6096</v>
      </c>
      <c r="K41" s="4" t="s">
        <v>64</v>
      </c>
      <c r="L41" s="40">
        <v>0</v>
      </c>
      <c r="M41" s="40">
        <v>6096</v>
      </c>
      <c r="N41">
        <v>8.5</v>
      </c>
      <c r="O41">
        <v>51816</v>
      </c>
      <c r="P41" t="s">
        <v>65</v>
      </c>
      <c r="Q41" s="6"/>
      <c r="R41" s="41">
        <v>3.0419999999999999E-2</v>
      </c>
      <c r="S41" s="42">
        <v>185.44031999999999</v>
      </c>
      <c r="T41" s="42" t="s">
        <v>209</v>
      </c>
      <c r="U41" s="43" t="s">
        <v>209</v>
      </c>
      <c r="V41" s="44">
        <v>46034</v>
      </c>
      <c r="W41" s="45">
        <v>46049</v>
      </c>
      <c r="X41" s="46" t="s">
        <v>66</v>
      </c>
      <c r="Y41" s="44">
        <v>46154</v>
      </c>
      <c r="Z41" s="44">
        <v>46157</v>
      </c>
      <c r="AA41" s="46" t="s">
        <v>280</v>
      </c>
      <c r="AB41" s="47">
        <v>108</v>
      </c>
      <c r="AC41" s="1">
        <v>46143</v>
      </c>
      <c r="AD41" s="1">
        <v>46143</v>
      </c>
      <c r="AE41" s="3">
        <v>7</v>
      </c>
      <c r="AF41" s="3" t="s">
        <v>69</v>
      </c>
      <c r="AG41" s="3" t="s">
        <v>69</v>
      </c>
      <c r="AH41" s="3">
        <v>12.5</v>
      </c>
      <c r="AI41" s="3">
        <v>10.285714285714286</v>
      </c>
      <c r="AK41" s="3" t="s">
        <v>69</v>
      </c>
      <c r="AL41" t="s">
        <v>281</v>
      </c>
      <c r="AN41" t="s">
        <v>72</v>
      </c>
      <c r="AO41" s="1" t="s">
        <v>278</v>
      </c>
      <c r="AP41" s="10"/>
      <c r="AQ41" s="1">
        <v>46113</v>
      </c>
      <c r="AR41" s="48" t="e">
        <v>#N/A</v>
      </c>
      <c r="AS41">
        <v>5565</v>
      </c>
      <c r="AT41">
        <v>100</v>
      </c>
      <c r="AU41" t="s">
        <v>282</v>
      </c>
      <c r="AV41">
        <v>15.99</v>
      </c>
      <c r="AW41">
        <v>11.09</v>
      </c>
      <c r="AX41">
        <v>448</v>
      </c>
      <c r="AY41">
        <v>355</v>
      </c>
      <c r="AZ41">
        <v>317</v>
      </c>
      <c r="BA41">
        <v>5</v>
      </c>
      <c r="BB41">
        <v>14</v>
      </c>
      <c r="BC41" s="3" t="s">
        <v>277</v>
      </c>
      <c r="BD41" s="16"/>
      <c r="BE41" t="s">
        <v>75</v>
      </c>
      <c r="BF41" s="49" t="e">
        <v>#N/A</v>
      </c>
      <c r="BG41" s="50" t="s">
        <v>75</v>
      </c>
      <c r="BH41" s="50" t="s">
        <v>75</v>
      </c>
      <c r="BI41" s="50" t="s">
        <v>75</v>
      </c>
    </row>
    <row r="42" spans="1:61" x14ac:dyDescent="0.25">
      <c r="A42" s="1">
        <v>46087</v>
      </c>
      <c r="B42" t="s">
        <v>283</v>
      </c>
      <c r="C42" t="s">
        <v>284</v>
      </c>
      <c r="D42">
        <v>202103</v>
      </c>
      <c r="E42" t="s">
        <v>285</v>
      </c>
      <c r="F42" t="s">
        <v>62</v>
      </c>
      <c r="G42" s="39"/>
      <c r="H42" s="10" t="s">
        <v>551</v>
      </c>
      <c r="I42" t="s">
        <v>286</v>
      </c>
      <c r="J42">
        <v>2000</v>
      </c>
      <c r="K42" s="4" t="s">
        <v>64</v>
      </c>
      <c r="L42" s="40">
        <v>0</v>
      </c>
      <c r="M42" s="40">
        <v>2000</v>
      </c>
      <c r="N42">
        <v>0.878</v>
      </c>
      <c r="O42">
        <v>1756</v>
      </c>
      <c r="P42" t="s">
        <v>65</v>
      </c>
      <c r="Q42" s="6"/>
      <c r="R42" s="41">
        <v>1.452E-2</v>
      </c>
      <c r="S42" s="42">
        <v>29.04</v>
      </c>
      <c r="T42" s="42">
        <v>500</v>
      </c>
      <c r="U42" s="43">
        <v>0.5</v>
      </c>
      <c r="V42" s="44">
        <v>46120</v>
      </c>
      <c r="W42" s="45">
        <v>46135</v>
      </c>
      <c r="X42" s="46" t="s">
        <v>66</v>
      </c>
      <c r="Y42" s="44">
        <v>46154</v>
      </c>
      <c r="Z42" s="44">
        <v>46157</v>
      </c>
      <c r="AA42" s="46" t="s">
        <v>66</v>
      </c>
      <c r="AB42" s="47">
        <v>22</v>
      </c>
      <c r="AC42" s="1">
        <v>46164</v>
      </c>
      <c r="AD42" s="1">
        <v>46164</v>
      </c>
      <c r="AE42" s="3">
        <v>21</v>
      </c>
      <c r="AF42" s="3" t="s">
        <v>68</v>
      </c>
      <c r="AG42" s="3" t="s">
        <v>68</v>
      </c>
      <c r="AH42" s="3">
        <v>10.5</v>
      </c>
      <c r="AI42" s="3">
        <v>10</v>
      </c>
      <c r="AK42" s="3" t="s">
        <v>69</v>
      </c>
      <c r="AL42" t="s">
        <v>70</v>
      </c>
      <c r="AN42" t="s">
        <v>72</v>
      </c>
      <c r="AO42" t="s">
        <v>62</v>
      </c>
      <c r="AP42" s="10"/>
      <c r="AQ42" s="1">
        <v>46024</v>
      </c>
      <c r="AR42" s="48" t="e">
        <v>#N/A</v>
      </c>
      <c r="AS42">
        <v>5618</v>
      </c>
      <c r="AT42">
        <v>100</v>
      </c>
      <c r="AU42" t="s">
        <v>287</v>
      </c>
      <c r="AV42">
        <v>11.74</v>
      </c>
      <c r="AW42">
        <v>10.54</v>
      </c>
      <c r="AX42">
        <v>800</v>
      </c>
      <c r="AY42">
        <v>38</v>
      </c>
      <c r="AZ42">
        <v>29.5</v>
      </c>
      <c r="BA42">
        <v>19.5</v>
      </c>
      <c r="BB42">
        <v>1</v>
      </c>
      <c r="BC42" s="3" t="s">
        <v>288</v>
      </c>
      <c r="BD42" t="s">
        <v>74</v>
      </c>
      <c r="BE42" t="s">
        <v>75</v>
      </c>
      <c r="BF42" s="49" t="e">
        <v>#N/A</v>
      </c>
      <c r="BG42" s="50" t="s">
        <v>75</v>
      </c>
      <c r="BH42" s="50" t="s">
        <v>75</v>
      </c>
      <c r="BI42" s="50" t="s">
        <v>75</v>
      </c>
    </row>
    <row r="43" spans="1:61" x14ac:dyDescent="0.25">
      <c r="A43" s="1">
        <v>46087</v>
      </c>
      <c r="B43" t="s">
        <v>289</v>
      </c>
      <c r="C43" t="s">
        <v>290</v>
      </c>
      <c r="D43" t="s">
        <v>291</v>
      </c>
      <c r="E43" t="s">
        <v>292</v>
      </c>
      <c r="F43" t="s">
        <v>62</v>
      </c>
      <c r="G43" s="39"/>
      <c r="H43" s="10" t="s">
        <v>551</v>
      </c>
      <c r="I43" t="s">
        <v>293</v>
      </c>
      <c r="J43">
        <v>2500</v>
      </c>
      <c r="K43" s="4" t="s">
        <v>64</v>
      </c>
      <c r="L43" s="40">
        <v>0</v>
      </c>
      <c r="M43" s="40">
        <v>2500</v>
      </c>
      <c r="N43">
        <v>0.88100000000000001</v>
      </c>
      <c r="O43">
        <v>2202.5</v>
      </c>
      <c r="P43" t="s">
        <v>65</v>
      </c>
      <c r="Q43" s="6"/>
      <c r="R43" s="41">
        <v>9.58E-3</v>
      </c>
      <c r="S43" s="42">
        <v>23.95</v>
      </c>
      <c r="T43" s="42">
        <v>630</v>
      </c>
      <c r="U43" s="43">
        <v>0.49603174603174605</v>
      </c>
      <c r="V43" s="44">
        <v>46120</v>
      </c>
      <c r="W43" s="45">
        <v>46135</v>
      </c>
      <c r="X43" s="46" t="s">
        <v>66</v>
      </c>
      <c r="Y43" s="44">
        <v>46154</v>
      </c>
      <c r="Z43" s="44">
        <v>46157</v>
      </c>
      <c r="AA43" s="46" t="s">
        <v>66</v>
      </c>
      <c r="AB43" s="47">
        <v>22</v>
      </c>
      <c r="AC43" s="1">
        <v>46130</v>
      </c>
      <c r="AD43" s="1">
        <v>46157</v>
      </c>
      <c r="AE43" s="3">
        <v>24</v>
      </c>
      <c r="AF43" s="3" t="s">
        <v>68</v>
      </c>
      <c r="AG43" s="3" t="s">
        <v>69</v>
      </c>
      <c r="AH43" s="3">
        <v>10.5</v>
      </c>
      <c r="AI43" s="3">
        <v>10</v>
      </c>
      <c r="AK43" s="3" t="s">
        <v>69</v>
      </c>
      <c r="AL43" t="s">
        <v>80</v>
      </c>
      <c r="AN43" t="s">
        <v>72</v>
      </c>
      <c r="AO43" t="s">
        <v>62</v>
      </c>
      <c r="AP43" s="10"/>
      <c r="AQ43" s="1">
        <v>46027</v>
      </c>
      <c r="AR43" s="48" t="e">
        <v>#N/A</v>
      </c>
      <c r="AS43">
        <v>5615</v>
      </c>
      <c r="AT43">
        <v>100</v>
      </c>
      <c r="AU43" t="s">
        <v>294</v>
      </c>
      <c r="AV43">
        <v>2.2599999999999998</v>
      </c>
      <c r="AW43">
        <v>4.5199999999999996</v>
      </c>
      <c r="AX43">
        <v>1000</v>
      </c>
      <c r="AY43">
        <v>38</v>
      </c>
      <c r="AZ43">
        <v>29.5</v>
      </c>
      <c r="BA43">
        <v>19.5</v>
      </c>
      <c r="BB43">
        <v>1</v>
      </c>
      <c r="BC43" s="3" t="s">
        <v>295</v>
      </c>
      <c r="BD43" t="s">
        <v>74</v>
      </c>
      <c r="BE43" t="s">
        <v>75</v>
      </c>
      <c r="BF43" s="49" t="e">
        <v>#N/A</v>
      </c>
      <c r="BG43" s="50" t="s">
        <v>75</v>
      </c>
      <c r="BH43" s="50" t="s">
        <v>75</v>
      </c>
      <c r="BI43" s="50" t="s">
        <v>75</v>
      </c>
    </row>
    <row r="44" spans="1:61" x14ac:dyDescent="0.25">
      <c r="A44" s="1">
        <v>46087</v>
      </c>
      <c r="B44" t="s">
        <v>296</v>
      </c>
      <c r="C44" t="s">
        <v>297</v>
      </c>
      <c r="D44" t="s">
        <v>298</v>
      </c>
      <c r="E44" t="s">
        <v>299</v>
      </c>
      <c r="F44" t="s">
        <v>62</v>
      </c>
      <c r="G44" s="39"/>
      <c r="H44" s="10" t="s">
        <v>551</v>
      </c>
      <c r="I44" t="s">
        <v>300</v>
      </c>
      <c r="J44">
        <v>4000</v>
      </c>
      <c r="K44" s="4" t="s">
        <v>64</v>
      </c>
      <c r="L44" s="40">
        <v>0</v>
      </c>
      <c r="M44" s="40">
        <v>4000</v>
      </c>
      <c r="N44">
        <v>0.56999999999999995</v>
      </c>
      <c r="O44">
        <v>2280</v>
      </c>
      <c r="P44" t="s">
        <v>65</v>
      </c>
      <c r="Q44" s="6"/>
      <c r="R44" s="41">
        <v>8.5000000000000006E-3</v>
      </c>
      <c r="S44" s="42">
        <v>34</v>
      </c>
      <c r="T44" s="42">
        <v>400</v>
      </c>
      <c r="U44" s="43">
        <v>1.25</v>
      </c>
      <c r="V44" s="44">
        <v>46120</v>
      </c>
      <c r="W44" s="45">
        <v>46135</v>
      </c>
      <c r="X44" s="46" t="s">
        <v>66</v>
      </c>
      <c r="Y44" s="44">
        <v>46154</v>
      </c>
      <c r="Z44" s="44">
        <v>46157</v>
      </c>
      <c r="AA44" s="46" t="s">
        <v>66</v>
      </c>
      <c r="AB44" s="47">
        <v>22</v>
      </c>
      <c r="AC44" s="1">
        <v>46130</v>
      </c>
      <c r="AD44" s="1">
        <v>46157</v>
      </c>
      <c r="AE44" s="3">
        <v>26</v>
      </c>
      <c r="AF44" s="3" t="s">
        <v>68</v>
      </c>
      <c r="AG44" s="3" t="s">
        <v>69</v>
      </c>
      <c r="AH44" s="3">
        <v>10.5</v>
      </c>
      <c r="AI44" s="3">
        <v>10</v>
      </c>
      <c r="AK44" s="3" t="s">
        <v>69</v>
      </c>
      <c r="AL44" t="s">
        <v>80</v>
      </c>
      <c r="AN44" t="s">
        <v>72</v>
      </c>
      <c r="AO44" t="s">
        <v>62</v>
      </c>
      <c r="AP44" s="10"/>
      <c r="AQ44" s="1">
        <v>46029</v>
      </c>
      <c r="AR44" s="48" t="e">
        <v>#N/A</v>
      </c>
      <c r="AS44">
        <v>5613</v>
      </c>
      <c r="AT44">
        <v>100</v>
      </c>
      <c r="AU44" t="s">
        <v>301</v>
      </c>
      <c r="AV44">
        <v>3.37</v>
      </c>
      <c r="AW44">
        <v>5.61</v>
      </c>
      <c r="AX44">
        <v>1000</v>
      </c>
      <c r="AY44">
        <v>38</v>
      </c>
      <c r="AZ44">
        <v>29.5</v>
      </c>
      <c r="BA44">
        <v>19.5</v>
      </c>
      <c r="BB44">
        <v>1</v>
      </c>
      <c r="BC44" s="3" t="s">
        <v>302</v>
      </c>
      <c r="BD44" t="s">
        <v>74</v>
      </c>
      <c r="BE44" t="s">
        <v>75</v>
      </c>
      <c r="BF44" s="49" t="e">
        <v>#N/A</v>
      </c>
      <c r="BG44" s="50" t="s">
        <v>75</v>
      </c>
      <c r="BH44" s="50" t="s">
        <v>75</v>
      </c>
      <c r="BI44" s="50" t="s">
        <v>75</v>
      </c>
    </row>
    <row r="45" spans="1:61" x14ac:dyDescent="0.25">
      <c r="A45" s="1">
        <v>46087</v>
      </c>
      <c r="B45" t="s">
        <v>303</v>
      </c>
      <c r="C45" t="s">
        <v>304</v>
      </c>
      <c r="D45" t="s">
        <v>304</v>
      </c>
      <c r="E45" t="s">
        <v>305</v>
      </c>
      <c r="F45" t="s">
        <v>62</v>
      </c>
      <c r="G45" s="39"/>
      <c r="H45" s="10" t="s">
        <v>551</v>
      </c>
      <c r="I45" t="s">
        <v>306</v>
      </c>
      <c r="J45">
        <v>1000</v>
      </c>
      <c r="K45" s="4" t="s">
        <v>64</v>
      </c>
      <c r="L45" s="40">
        <v>0</v>
      </c>
      <c r="M45" s="40">
        <v>1000</v>
      </c>
      <c r="N45">
        <v>1.3560000000000001</v>
      </c>
      <c r="O45">
        <v>1356</v>
      </c>
      <c r="P45" t="s">
        <v>65</v>
      </c>
      <c r="Q45" s="6"/>
      <c r="R45" s="41">
        <v>9.7199999999999995E-3</v>
      </c>
      <c r="S45" s="42">
        <v>9.7199999999999989</v>
      </c>
      <c r="T45" s="42">
        <v>300</v>
      </c>
      <c r="U45" s="43">
        <v>0.41666666666666669</v>
      </c>
      <c r="V45" s="44">
        <v>46126</v>
      </c>
      <c r="W45" s="45">
        <v>46141</v>
      </c>
      <c r="X45" s="46" t="s">
        <v>66</v>
      </c>
      <c r="Y45" s="44">
        <v>46154</v>
      </c>
      <c r="Z45" s="44">
        <v>46157</v>
      </c>
      <c r="AA45" s="46" t="s">
        <v>66</v>
      </c>
      <c r="AB45" s="47">
        <v>16</v>
      </c>
      <c r="AC45" s="1">
        <v>46171</v>
      </c>
      <c r="AD45" s="1">
        <v>46171</v>
      </c>
      <c r="AE45" s="3">
        <v>40</v>
      </c>
      <c r="AF45" s="3" t="s">
        <v>68</v>
      </c>
      <c r="AG45" s="3" t="s">
        <v>68</v>
      </c>
      <c r="AH45" s="3">
        <v>10.5</v>
      </c>
      <c r="AI45" s="3">
        <v>10</v>
      </c>
      <c r="AK45" s="3" t="s">
        <v>69</v>
      </c>
      <c r="AL45" t="s">
        <v>70</v>
      </c>
      <c r="AN45" t="s">
        <v>72</v>
      </c>
      <c r="AO45" t="s">
        <v>62</v>
      </c>
      <c r="AP45" s="10"/>
      <c r="AQ45" s="1">
        <v>46043</v>
      </c>
      <c r="AR45" s="48" t="e">
        <v>#N/A</v>
      </c>
      <c r="AS45">
        <v>5599</v>
      </c>
      <c r="AT45">
        <v>100</v>
      </c>
      <c r="AU45" t="s">
        <v>307</v>
      </c>
      <c r="AV45">
        <v>0.66</v>
      </c>
      <c r="AW45">
        <v>13.3</v>
      </c>
      <c r="AX45">
        <v>10000</v>
      </c>
      <c r="AY45">
        <v>38</v>
      </c>
      <c r="AZ45">
        <v>36</v>
      </c>
      <c r="BA45">
        <v>36</v>
      </c>
      <c r="BB45">
        <v>1</v>
      </c>
      <c r="BC45" s="3" t="s">
        <v>308</v>
      </c>
      <c r="BD45" t="s">
        <v>309</v>
      </c>
      <c r="BE45" t="s">
        <v>75</v>
      </c>
      <c r="BF45" s="49" t="e">
        <v>#N/A</v>
      </c>
      <c r="BG45" s="50" t="s">
        <v>75</v>
      </c>
      <c r="BH45" s="50" t="s">
        <v>75</v>
      </c>
      <c r="BI45" s="50" t="s">
        <v>304</v>
      </c>
    </row>
    <row r="46" spans="1:61" x14ac:dyDescent="0.25">
      <c r="A46" s="1">
        <v>46087</v>
      </c>
      <c r="B46" t="s">
        <v>310</v>
      </c>
      <c r="C46" t="s">
        <v>311</v>
      </c>
      <c r="D46" t="s">
        <v>311</v>
      </c>
      <c r="E46" t="s">
        <v>312</v>
      </c>
      <c r="F46" t="s">
        <v>62</v>
      </c>
      <c r="G46" s="39"/>
      <c r="H46" s="10" t="s">
        <v>551</v>
      </c>
      <c r="I46" t="s">
        <v>313</v>
      </c>
      <c r="J46">
        <v>3000</v>
      </c>
      <c r="K46" s="4" t="s">
        <v>64</v>
      </c>
      <c r="L46" s="40">
        <v>0</v>
      </c>
      <c r="M46" s="40">
        <v>3000</v>
      </c>
      <c r="N46">
        <v>0.51800000000000002</v>
      </c>
      <c r="O46">
        <v>1554</v>
      </c>
      <c r="P46" t="s">
        <v>65</v>
      </c>
      <c r="Q46" s="6"/>
      <c r="R46" s="41">
        <v>1.3690000000000001E-2</v>
      </c>
      <c r="S46" s="42">
        <v>41.07</v>
      </c>
      <c r="T46" s="42" t="s">
        <v>209</v>
      </c>
      <c r="U46" s="43" t="s">
        <v>209</v>
      </c>
      <c r="V46" s="44">
        <v>46107</v>
      </c>
      <c r="W46" s="45">
        <v>46122</v>
      </c>
      <c r="X46" s="46" t="s">
        <v>66</v>
      </c>
      <c r="Y46" s="44">
        <v>46154</v>
      </c>
      <c r="Z46" s="44">
        <v>46157</v>
      </c>
      <c r="AA46" s="46" t="s">
        <v>66</v>
      </c>
      <c r="AB46" s="47">
        <v>35</v>
      </c>
      <c r="AC46" s="1">
        <v>46171</v>
      </c>
      <c r="AD46" s="1">
        <v>46171</v>
      </c>
      <c r="AE46" s="3">
        <v>41</v>
      </c>
      <c r="AF46" s="3" t="s">
        <v>68</v>
      </c>
      <c r="AG46" s="3" t="s">
        <v>68</v>
      </c>
      <c r="AH46" s="3">
        <v>10.5</v>
      </c>
      <c r="AI46" s="3">
        <v>10</v>
      </c>
      <c r="AK46" s="3" t="s">
        <v>69</v>
      </c>
      <c r="AL46" t="s">
        <v>70</v>
      </c>
      <c r="AN46" t="s">
        <v>72</v>
      </c>
      <c r="AO46" t="s">
        <v>62</v>
      </c>
      <c r="AP46" s="10"/>
      <c r="AQ46" s="1">
        <v>46044</v>
      </c>
      <c r="AR46" s="48" t="e">
        <v>#N/A</v>
      </c>
      <c r="AS46">
        <v>5598</v>
      </c>
      <c r="AT46">
        <v>100</v>
      </c>
      <c r="AU46" t="s">
        <v>314</v>
      </c>
      <c r="AV46">
        <v>0.22</v>
      </c>
      <c r="AW46">
        <v>1.38</v>
      </c>
      <c r="AX46">
        <v>4000</v>
      </c>
      <c r="AY46">
        <v>36.5</v>
      </c>
      <c r="AZ46">
        <v>35</v>
      </c>
      <c r="BA46">
        <v>8</v>
      </c>
      <c r="BB46">
        <v>1</v>
      </c>
      <c r="BC46" s="3" t="s">
        <v>315</v>
      </c>
      <c r="BD46" t="s">
        <v>74</v>
      </c>
      <c r="BE46" t="s">
        <v>75</v>
      </c>
      <c r="BF46" s="49" t="e">
        <v>#N/A</v>
      </c>
      <c r="BG46" s="50" t="s">
        <v>75</v>
      </c>
      <c r="BH46" s="50" t="s">
        <v>75</v>
      </c>
      <c r="BI46" s="50" t="s">
        <v>311</v>
      </c>
    </row>
    <row r="47" spans="1:61" x14ac:dyDescent="0.25">
      <c r="A47" s="1">
        <v>46087</v>
      </c>
      <c r="B47" t="s">
        <v>316</v>
      </c>
      <c r="C47" t="s">
        <v>317</v>
      </c>
      <c r="D47" t="s">
        <v>318</v>
      </c>
      <c r="E47" t="s">
        <v>319</v>
      </c>
      <c r="F47" t="s">
        <v>62</v>
      </c>
      <c r="G47" s="39"/>
      <c r="H47" s="10" t="s">
        <v>551</v>
      </c>
      <c r="I47" t="s">
        <v>320</v>
      </c>
      <c r="J47">
        <v>2000</v>
      </c>
      <c r="K47" s="4" t="s">
        <v>64</v>
      </c>
      <c r="L47" s="40">
        <v>0</v>
      </c>
      <c r="M47" s="40">
        <v>2000</v>
      </c>
      <c r="N47">
        <v>1.034</v>
      </c>
      <c r="O47">
        <v>2068</v>
      </c>
      <c r="P47" t="s">
        <v>65</v>
      </c>
      <c r="Q47" s="6"/>
      <c r="R47" s="41">
        <v>9.4800000000000006E-3</v>
      </c>
      <c r="S47" s="42">
        <v>18.96</v>
      </c>
      <c r="T47" s="42">
        <v>450</v>
      </c>
      <c r="U47" s="43">
        <v>0.55555555555555558</v>
      </c>
      <c r="V47" s="44">
        <v>46120</v>
      </c>
      <c r="W47" s="45">
        <v>46135</v>
      </c>
      <c r="X47" s="46" t="s">
        <v>66</v>
      </c>
      <c r="Y47" s="44">
        <v>46154</v>
      </c>
      <c r="Z47" s="44">
        <v>46157</v>
      </c>
      <c r="AA47" s="46" t="s">
        <v>66</v>
      </c>
      <c r="AB47" s="47">
        <v>22</v>
      </c>
      <c r="AC47" s="1">
        <v>46171</v>
      </c>
      <c r="AD47" s="1">
        <v>46171</v>
      </c>
      <c r="AE47" s="3">
        <v>44</v>
      </c>
      <c r="AF47" s="3" t="s">
        <v>68</v>
      </c>
      <c r="AG47" s="3" t="s">
        <v>68</v>
      </c>
      <c r="AH47" s="3">
        <v>10.5</v>
      </c>
      <c r="AI47" s="3">
        <v>10</v>
      </c>
      <c r="AK47" s="3" t="s">
        <v>69</v>
      </c>
      <c r="AL47" t="s">
        <v>70</v>
      </c>
      <c r="AN47" t="s">
        <v>72</v>
      </c>
      <c r="AO47" t="s">
        <v>62</v>
      </c>
      <c r="AP47" s="10"/>
      <c r="AQ47" s="1">
        <v>46047</v>
      </c>
      <c r="AR47" s="48" t="e">
        <v>#N/A</v>
      </c>
      <c r="AS47">
        <v>5595</v>
      </c>
      <c r="AT47">
        <v>100</v>
      </c>
      <c r="AU47" t="s">
        <v>321</v>
      </c>
      <c r="AV47">
        <v>4.7</v>
      </c>
      <c r="AW47">
        <v>6.77</v>
      </c>
      <c r="AX47">
        <v>1000</v>
      </c>
      <c r="AY47">
        <v>38</v>
      </c>
      <c r="AZ47">
        <v>29.5</v>
      </c>
      <c r="BA47">
        <v>19.5</v>
      </c>
      <c r="BB47">
        <v>1</v>
      </c>
      <c r="BC47" s="3" t="s">
        <v>322</v>
      </c>
      <c r="BD47" t="s">
        <v>323</v>
      </c>
      <c r="BE47" t="s">
        <v>75</v>
      </c>
      <c r="BF47" s="49" t="e">
        <v>#N/A</v>
      </c>
      <c r="BG47" s="50" t="s">
        <v>75</v>
      </c>
      <c r="BH47" s="50" t="s">
        <v>75</v>
      </c>
      <c r="BI47" s="50" t="s">
        <v>75</v>
      </c>
    </row>
    <row r="48" spans="1:61" x14ac:dyDescent="0.25">
      <c r="A48" s="1">
        <v>46087</v>
      </c>
      <c r="B48" t="s">
        <v>324</v>
      </c>
      <c r="C48" t="s">
        <v>325</v>
      </c>
      <c r="D48" t="s">
        <v>326</v>
      </c>
      <c r="E48" t="s">
        <v>327</v>
      </c>
      <c r="F48" t="s">
        <v>62</v>
      </c>
      <c r="G48" s="39"/>
      <c r="H48" s="10" t="s">
        <v>551</v>
      </c>
      <c r="I48" t="s">
        <v>328</v>
      </c>
      <c r="J48">
        <v>2000</v>
      </c>
      <c r="K48" s="4" t="s">
        <v>64</v>
      </c>
      <c r="L48" s="40">
        <v>0</v>
      </c>
      <c r="M48" s="40">
        <v>2000</v>
      </c>
      <c r="N48">
        <v>0.93899999999999995</v>
      </c>
      <c r="O48">
        <v>1878</v>
      </c>
      <c r="P48" t="s">
        <v>65</v>
      </c>
      <c r="Q48" s="6"/>
      <c r="R48" s="41">
        <v>1.447E-2</v>
      </c>
      <c r="S48" s="42">
        <v>28.94</v>
      </c>
      <c r="T48" s="42">
        <v>3600</v>
      </c>
      <c r="U48" s="43">
        <v>6.9444444444444448E-2</v>
      </c>
      <c r="V48" s="44">
        <v>46120</v>
      </c>
      <c r="W48" s="45">
        <v>46135</v>
      </c>
      <c r="X48" s="46" t="s">
        <v>66</v>
      </c>
      <c r="Y48" s="44">
        <v>46154</v>
      </c>
      <c r="Z48" s="44">
        <v>46157</v>
      </c>
      <c r="AA48" s="46" t="s">
        <v>66</v>
      </c>
      <c r="AB48" s="47">
        <v>22</v>
      </c>
      <c r="AC48" s="1">
        <v>46130</v>
      </c>
      <c r="AD48" s="1">
        <v>46157</v>
      </c>
      <c r="AE48" s="3">
        <v>45</v>
      </c>
      <c r="AF48" s="3" t="s">
        <v>68</v>
      </c>
      <c r="AG48" s="3" t="s">
        <v>69</v>
      </c>
      <c r="AH48" s="3">
        <v>10.5</v>
      </c>
      <c r="AI48" s="3">
        <v>10</v>
      </c>
      <c r="AK48" s="3" t="s">
        <v>69</v>
      </c>
      <c r="AL48" t="s">
        <v>80</v>
      </c>
      <c r="AN48" t="s">
        <v>72</v>
      </c>
      <c r="AO48" t="s">
        <v>62</v>
      </c>
      <c r="AP48" s="10"/>
      <c r="AQ48" s="1">
        <v>46048</v>
      </c>
      <c r="AR48" s="48" t="e">
        <v>#N/A</v>
      </c>
      <c r="AS48">
        <v>5594</v>
      </c>
      <c r="AT48">
        <v>100</v>
      </c>
      <c r="AU48" t="s">
        <v>329</v>
      </c>
      <c r="AV48">
        <v>2.4</v>
      </c>
      <c r="AW48">
        <v>6.36</v>
      </c>
      <c r="AX48">
        <v>2000</v>
      </c>
      <c r="AY48">
        <v>30</v>
      </c>
      <c r="AZ48">
        <v>23</v>
      </c>
      <c r="BA48">
        <v>31</v>
      </c>
      <c r="BB48">
        <v>1</v>
      </c>
      <c r="BC48" s="3" t="s">
        <v>330</v>
      </c>
      <c r="BD48" t="s">
        <v>74</v>
      </c>
      <c r="BE48" t="s">
        <v>75</v>
      </c>
      <c r="BF48" s="49" t="e">
        <v>#N/A</v>
      </c>
      <c r="BG48" s="50" t="s">
        <v>75</v>
      </c>
      <c r="BH48" s="50" t="s">
        <v>75</v>
      </c>
      <c r="BI48" s="50" t="s">
        <v>75</v>
      </c>
    </row>
    <row r="49" spans="1:61" x14ac:dyDescent="0.25">
      <c r="A49" s="1">
        <v>46090</v>
      </c>
      <c r="B49" t="s">
        <v>331</v>
      </c>
      <c r="C49" t="s">
        <v>332</v>
      </c>
      <c r="D49" t="s">
        <v>333</v>
      </c>
      <c r="E49" t="s">
        <v>334</v>
      </c>
      <c r="F49" t="s">
        <v>62</v>
      </c>
      <c r="G49" s="39"/>
      <c r="H49" s="10" t="s">
        <v>551</v>
      </c>
      <c r="I49" t="s">
        <v>335</v>
      </c>
      <c r="J49">
        <v>13000</v>
      </c>
      <c r="K49" s="4" t="s">
        <v>64</v>
      </c>
      <c r="L49" s="40">
        <v>0</v>
      </c>
      <c r="M49" s="40">
        <v>13000</v>
      </c>
      <c r="N49">
        <v>0.81599999999999995</v>
      </c>
      <c r="O49">
        <v>10608</v>
      </c>
      <c r="P49" t="s">
        <v>65</v>
      </c>
      <c r="Q49" s="6"/>
      <c r="R49" s="41">
        <v>1.333E-2</v>
      </c>
      <c r="S49" s="42">
        <v>173.29</v>
      </c>
      <c r="T49" s="42">
        <v>450</v>
      </c>
      <c r="U49" s="43">
        <v>3.6111111111111112</v>
      </c>
      <c r="V49" s="44">
        <v>46129</v>
      </c>
      <c r="W49" s="45">
        <v>46144</v>
      </c>
      <c r="X49" s="46" t="s">
        <v>66</v>
      </c>
      <c r="Y49" s="44">
        <v>46154</v>
      </c>
      <c r="Z49" s="44">
        <v>46157</v>
      </c>
      <c r="AA49" s="46" t="s">
        <v>66</v>
      </c>
      <c r="AB49" s="47">
        <v>13</v>
      </c>
      <c r="AC49" s="1">
        <v>46185</v>
      </c>
      <c r="AD49" s="1">
        <v>46185</v>
      </c>
      <c r="AE49" s="3">
        <v>0</v>
      </c>
      <c r="AF49" s="3" t="s">
        <v>68</v>
      </c>
      <c r="AG49" s="3" t="s">
        <v>68</v>
      </c>
      <c r="AH49" s="3">
        <v>7.5</v>
      </c>
      <c r="AI49" s="3">
        <v>9.5714285714285712</v>
      </c>
      <c r="AK49" s="3" t="s">
        <v>69</v>
      </c>
      <c r="AL49" t="s">
        <v>70</v>
      </c>
      <c r="AN49" t="s">
        <v>72</v>
      </c>
      <c r="AO49" t="s">
        <v>62</v>
      </c>
      <c r="AP49" s="10"/>
      <c r="AQ49" s="1">
        <v>46043</v>
      </c>
      <c r="AR49" s="48" t="e">
        <v>#N/A</v>
      </c>
      <c r="AS49">
        <v>5652</v>
      </c>
      <c r="AT49">
        <v>100</v>
      </c>
      <c r="AU49" t="s">
        <v>336</v>
      </c>
      <c r="AV49">
        <v>8.4870000000000001</v>
      </c>
      <c r="AW49">
        <v>8.8699999999999992</v>
      </c>
      <c r="AX49">
        <v>800</v>
      </c>
      <c r="AY49">
        <v>36</v>
      </c>
      <c r="AZ49">
        <v>34</v>
      </c>
      <c r="BA49">
        <v>24.5</v>
      </c>
      <c r="BB49">
        <v>6</v>
      </c>
      <c r="BC49" s="3" t="s">
        <v>337</v>
      </c>
      <c r="BD49" t="s">
        <v>74</v>
      </c>
      <c r="BE49" t="s">
        <v>75</v>
      </c>
      <c r="BF49" s="49" t="e">
        <v>#N/A</v>
      </c>
      <c r="BG49" s="50" t="s">
        <v>75</v>
      </c>
      <c r="BH49" s="50" t="s">
        <v>75</v>
      </c>
      <c r="BI49" s="50" t="s">
        <v>75</v>
      </c>
    </row>
    <row r="50" spans="1:61" x14ac:dyDescent="0.25">
      <c r="A50" s="1">
        <v>46090</v>
      </c>
      <c r="B50" t="s">
        <v>338</v>
      </c>
      <c r="C50" t="s">
        <v>339</v>
      </c>
      <c r="D50" t="s">
        <v>340</v>
      </c>
      <c r="E50" t="s">
        <v>341</v>
      </c>
      <c r="F50" t="s">
        <v>62</v>
      </c>
      <c r="G50" s="39"/>
      <c r="H50" s="10" t="s">
        <v>551</v>
      </c>
      <c r="I50" t="s">
        <v>342</v>
      </c>
      <c r="J50">
        <v>10000</v>
      </c>
      <c r="K50" s="4" t="s">
        <v>64</v>
      </c>
      <c r="L50" s="40">
        <v>0</v>
      </c>
      <c r="M50" s="40">
        <v>10000</v>
      </c>
      <c r="N50">
        <v>1.0429999999999999</v>
      </c>
      <c r="O50">
        <v>10430</v>
      </c>
      <c r="P50" t="s">
        <v>65</v>
      </c>
      <c r="Q50" s="6"/>
      <c r="R50" s="41">
        <v>9.11E-3</v>
      </c>
      <c r="S50" s="42">
        <v>91.1</v>
      </c>
      <c r="T50" s="42">
        <v>400</v>
      </c>
      <c r="U50" s="43">
        <v>3.125</v>
      </c>
      <c r="V50" s="44">
        <v>46126</v>
      </c>
      <c r="W50" s="45">
        <v>46141</v>
      </c>
      <c r="X50" s="46" t="s">
        <v>66</v>
      </c>
      <c r="Y50" s="44">
        <v>46154</v>
      </c>
      <c r="Z50" s="44">
        <v>46157</v>
      </c>
      <c r="AA50" s="46" t="s">
        <v>66</v>
      </c>
      <c r="AB50" s="47">
        <v>16</v>
      </c>
      <c r="AC50" s="1">
        <v>46185</v>
      </c>
      <c r="AD50" s="1">
        <v>46185</v>
      </c>
      <c r="AE50" s="3">
        <v>0</v>
      </c>
      <c r="AF50" s="3" t="s">
        <v>68</v>
      </c>
      <c r="AG50" s="3" t="s">
        <v>68</v>
      </c>
      <c r="AH50" s="3">
        <v>7.5</v>
      </c>
      <c r="AI50" s="3">
        <v>9.5714285714285712</v>
      </c>
      <c r="AK50" s="3" t="s">
        <v>69</v>
      </c>
      <c r="AL50" t="s">
        <v>70</v>
      </c>
      <c r="AN50" t="s">
        <v>72</v>
      </c>
      <c r="AO50" t="s">
        <v>62</v>
      </c>
      <c r="AP50" s="10"/>
      <c r="AQ50" s="1">
        <v>46044</v>
      </c>
      <c r="AR50" s="48" t="e">
        <v>#N/A</v>
      </c>
      <c r="AS50">
        <v>5651</v>
      </c>
      <c r="AT50">
        <v>100</v>
      </c>
      <c r="AU50" t="s">
        <v>343</v>
      </c>
      <c r="AV50">
        <v>5.46</v>
      </c>
      <c r="AW50">
        <v>7.64</v>
      </c>
      <c r="AX50">
        <v>1000</v>
      </c>
      <c r="AY50">
        <v>38</v>
      </c>
      <c r="AZ50">
        <v>29.5</v>
      </c>
      <c r="BA50">
        <v>19.5</v>
      </c>
      <c r="BB50">
        <v>7</v>
      </c>
      <c r="BC50" s="3" t="s">
        <v>344</v>
      </c>
      <c r="BD50" t="s">
        <v>74</v>
      </c>
      <c r="BE50" t="s">
        <v>75</v>
      </c>
      <c r="BF50" s="49" t="e">
        <v>#N/A</v>
      </c>
      <c r="BG50" s="50" t="s">
        <v>75</v>
      </c>
      <c r="BH50" s="50" t="s">
        <v>75</v>
      </c>
      <c r="BI50" s="50" t="s">
        <v>75</v>
      </c>
    </row>
    <row r="51" spans="1:61" x14ac:dyDescent="0.25">
      <c r="A51" s="1">
        <v>46090</v>
      </c>
      <c r="B51" t="s">
        <v>345</v>
      </c>
      <c r="C51" t="s">
        <v>346</v>
      </c>
      <c r="D51" t="s">
        <v>347</v>
      </c>
      <c r="E51" t="s">
        <v>348</v>
      </c>
      <c r="F51" t="s">
        <v>62</v>
      </c>
      <c r="G51" s="39"/>
      <c r="H51" s="10" t="s">
        <v>551</v>
      </c>
      <c r="I51" t="s">
        <v>349</v>
      </c>
      <c r="J51">
        <v>2000</v>
      </c>
      <c r="K51" s="4" t="s">
        <v>64</v>
      </c>
      <c r="L51" s="40">
        <v>0</v>
      </c>
      <c r="M51" s="40">
        <v>2000</v>
      </c>
      <c r="N51">
        <v>1.421</v>
      </c>
      <c r="O51">
        <v>2842</v>
      </c>
      <c r="P51" t="s">
        <v>65</v>
      </c>
      <c r="Q51" s="6"/>
      <c r="R51" s="41">
        <v>1.346E-2</v>
      </c>
      <c r="S51" s="42">
        <v>26.919999999999998</v>
      </c>
      <c r="T51" s="42">
        <v>360</v>
      </c>
      <c r="U51" s="43">
        <v>0.69444444444444442</v>
      </c>
      <c r="V51" s="44">
        <v>46138</v>
      </c>
      <c r="W51" s="45">
        <v>46153</v>
      </c>
      <c r="X51" s="46" t="s">
        <v>66</v>
      </c>
      <c r="Y51" s="44">
        <v>46154</v>
      </c>
      <c r="Z51" s="44">
        <v>46157</v>
      </c>
      <c r="AA51" s="46" t="s">
        <v>66</v>
      </c>
      <c r="AB51" s="47">
        <v>4</v>
      </c>
      <c r="AC51" s="1">
        <v>46164</v>
      </c>
      <c r="AD51" s="1">
        <v>46164</v>
      </c>
      <c r="AE51" s="3">
        <v>0</v>
      </c>
      <c r="AF51" s="3" t="s">
        <v>68</v>
      </c>
      <c r="AG51" s="3" t="s">
        <v>68</v>
      </c>
      <c r="AH51" s="3">
        <v>7.5</v>
      </c>
      <c r="AI51" s="3">
        <v>9.5714285714285712</v>
      </c>
      <c r="AK51" s="3" t="s">
        <v>69</v>
      </c>
      <c r="AL51" t="s">
        <v>70</v>
      </c>
      <c r="AM51" t="s">
        <v>71</v>
      </c>
      <c r="AN51" t="s">
        <v>72</v>
      </c>
      <c r="AO51" t="s">
        <v>62</v>
      </c>
      <c r="AP51" s="10"/>
      <c r="AQ51" s="1">
        <v>46075</v>
      </c>
      <c r="AR51" s="48" t="e">
        <v>#N/A</v>
      </c>
      <c r="AS51">
        <v>5620</v>
      </c>
      <c r="AT51">
        <v>100</v>
      </c>
      <c r="AU51" t="s">
        <v>350</v>
      </c>
      <c r="AV51">
        <v>6</v>
      </c>
      <c r="AW51">
        <v>6.83</v>
      </c>
      <c r="AX51">
        <v>800</v>
      </c>
      <c r="AY51">
        <v>38</v>
      </c>
      <c r="AZ51">
        <v>29.5</v>
      </c>
      <c r="BA51">
        <v>19.5</v>
      </c>
      <c r="BB51">
        <v>38</v>
      </c>
      <c r="BC51" s="3" t="s">
        <v>351</v>
      </c>
      <c r="BD51" t="s">
        <v>74</v>
      </c>
      <c r="BE51" t="s">
        <v>75</v>
      </c>
      <c r="BF51" s="49" t="e">
        <v>#N/A</v>
      </c>
      <c r="BG51" s="50" t="s">
        <v>75</v>
      </c>
      <c r="BH51" s="50" t="s">
        <v>75</v>
      </c>
      <c r="BI51" s="50" t="s">
        <v>75</v>
      </c>
    </row>
    <row r="52" spans="1:61" x14ac:dyDescent="0.25">
      <c r="A52" s="1">
        <v>46091</v>
      </c>
      <c r="B52" t="s">
        <v>352</v>
      </c>
      <c r="C52" t="s">
        <v>353</v>
      </c>
      <c r="D52" s="10">
        <v>132101</v>
      </c>
      <c r="E52" t="s">
        <v>354</v>
      </c>
      <c r="F52" t="s">
        <v>62</v>
      </c>
      <c r="G52" s="67" t="s">
        <v>554</v>
      </c>
      <c r="H52" s="10" t="s">
        <v>551</v>
      </c>
      <c r="I52" t="s">
        <v>355</v>
      </c>
      <c r="J52" s="54">
        <v>5500</v>
      </c>
      <c r="K52" s="4" t="s">
        <v>64</v>
      </c>
      <c r="L52" s="40">
        <v>0</v>
      </c>
      <c r="M52" s="40">
        <v>5500</v>
      </c>
      <c r="N52" s="5">
        <v>0.88100000000000001</v>
      </c>
      <c r="O52">
        <v>4845.5</v>
      </c>
      <c r="P52" t="s">
        <v>65</v>
      </c>
      <c r="Q52" s="6">
        <v>10845.4</v>
      </c>
      <c r="R52" s="41">
        <v>8.3300000000000006E-3</v>
      </c>
      <c r="S52" s="42">
        <v>45.815000000000005</v>
      </c>
      <c r="T52" s="42">
        <v>400</v>
      </c>
      <c r="U52" s="43">
        <v>1.71875</v>
      </c>
      <c r="V52" s="44">
        <v>46133</v>
      </c>
      <c r="W52" s="45">
        <v>46148</v>
      </c>
      <c r="X52" s="46" t="s">
        <v>66</v>
      </c>
      <c r="Y52" s="44">
        <v>46154</v>
      </c>
      <c r="Z52" s="44">
        <v>46157</v>
      </c>
      <c r="AA52" s="46" t="s">
        <v>66</v>
      </c>
      <c r="AB52" s="47">
        <v>9</v>
      </c>
      <c r="AC52" s="1">
        <v>46155</v>
      </c>
      <c r="AD52" s="1">
        <v>46164</v>
      </c>
      <c r="AE52" s="3">
        <v>7</v>
      </c>
      <c r="AF52" s="3" t="s">
        <v>68</v>
      </c>
      <c r="AG52" s="3" t="s">
        <v>69</v>
      </c>
      <c r="AH52" s="3">
        <v>6.5</v>
      </c>
      <c r="AI52" s="3">
        <v>9.4285714285714288</v>
      </c>
      <c r="AK52" s="3" t="s">
        <v>69</v>
      </c>
      <c r="AL52" t="s">
        <v>80</v>
      </c>
      <c r="AM52" t="s">
        <v>71</v>
      </c>
      <c r="AN52" t="s">
        <v>72</v>
      </c>
      <c r="AO52" t="s">
        <v>62</v>
      </c>
      <c r="AP52" s="10"/>
      <c r="AQ52" s="1">
        <v>46082</v>
      </c>
      <c r="AR52" s="48" t="e">
        <v>#N/A</v>
      </c>
      <c r="AS52">
        <v>5721</v>
      </c>
      <c r="AT52">
        <v>100</v>
      </c>
      <c r="AU52" t="s">
        <v>356</v>
      </c>
      <c r="AV52">
        <v>2.38</v>
      </c>
      <c r="AW52">
        <v>4.6500000000000004</v>
      </c>
      <c r="AX52">
        <v>1000</v>
      </c>
      <c r="AY52">
        <v>38</v>
      </c>
      <c r="AZ52">
        <v>29.5</v>
      </c>
      <c r="BA52">
        <v>19.5</v>
      </c>
      <c r="BB52">
        <v>6</v>
      </c>
      <c r="BC52" s="3" t="s">
        <v>354</v>
      </c>
      <c r="BD52" s="16" t="s">
        <v>74</v>
      </c>
      <c r="BE52" t="s">
        <v>75</v>
      </c>
      <c r="BF52" s="49" t="e">
        <v>#N/A</v>
      </c>
      <c r="BG52" s="50" t="s">
        <v>75</v>
      </c>
      <c r="BH52" s="50" t="s">
        <v>75</v>
      </c>
      <c r="BI52" s="50" t="s">
        <v>75</v>
      </c>
    </row>
    <row r="53" spans="1:61" x14ac:dyDescent="0.25">
      <c r="A53" s="1">
        <v>46091</v>
      </c>
      <c r="B53" t="s">
        <v>357</v>
      </c>
      <c r="C53" t="s">
        <v>358</v>
      </c>
      <c r="D53" s="10">
        <v>112443</v>
      </c>
      <c r="E53" t="s">
        <v>359</v>
      </c>
      <c r="F53" t="s">
        <v>62</v>
      </c>
      <c r="G53" s="67" t="s">
        <v>554</v>
      </c>
      <c r="H53" s="10" t="s">
        <v>552</v>
      </c>
      <c r="I53" t="s">
        <v>360</v>
      </c>
      <c r="J53">
        <v>3000</v>
      </c>
      <c r="K53" s="4">
        <v>46149</v>
      </c>
      <c r="L53" s="40">
        <v>0</v>
      </c>
      <c r="M53" s="40">
        <v>3000</v>
      </c>
      <c r="N53" s="5">
        <v>1.306</v>
      </c>
      <c r="O53">
        <v>3918</v>
      </c>
      <c r="P53" t="s">
        <v>65</v>
      </c>
      <c r="Q53" s="6">
        <v>3456</v>
      </c>
      <c r="R53" s="41">
        <v>6.77E-3</v>
      </c>
      <c r="S53" s="42">
        <v>20.309999999999999</v>
      </c>
      <c r="T53" s="42">
        <v>500</v>
      </c>
      <c r="U53" s="43">
        <v>0.75</v>
      </c>
      <c r="V53" s="44">
        <v>46133</v>
      </c>
      <c r="W53" s="45">
        <v>46148</v>
      </c>
      <c r="X53" s="46" t="s">
        <v>66</v>
      </c>
      <c r="Y53" s="44">
        <v>46154</v>
      </c>
      <c r="Z53" s="44">
        <v>46157</v>
      </c>
      <c r="AA53" s="46" t="s">
        <v>66</v>
      </c>
      <c r="AB53" s="47">
        <v>9</v>
      </c>
      <c r="AC53" s="1">
        <v>46157</v>
      </c>
      <c r="AD53" s="1">
        <v>46157</v>
      </c>
      <c r="AE53" s="3">
        <v>0</v>
      </c>
      <c r="AF53" s="3" t="s">
        <v>68</v>
      </c>
      <c r="AG53" s="3" t="s">
        <v>68</v>
      </c>
      <c r="AH53" s="3">
        <v>6.5</v>
      </c>
      <c r="AI53" s="3">
        <v>9.4285714285714288</v>
      </c>
      <c r="AK53" s="3" t="s">
        <v>69</v>
      </c>
      <c r="AL53" t="s">
        <v>70</v>
      </c>
      <c r="AM53" t="s">
        <v>71</v>
      </c>
      <c r="AN53" t="s">
        <v>72</v>
      </c>
      <c r="AO53" t="s">
        <v>62</v>
      </c>
      <c r="AP53" s="10"/>
      <c r="AQ53" s="1">
        <v>46093</v>
      </c>
      <c r="AR53" s="48" t="e">
        <v>#N/A</v>
      </c>
      <c r="AS53">
        <v>5710</v>
      </c>
      <c r="AT53">
        <v>100</v>
      </c>
      <c r="AU53" t="s">
        <v>361</v>
      </c>
      <c r="AV53">
        <v>11.55</v>
      </c>
      <c r="AW53">
        <v>10.48</v>
      </c>
      <c r="AX53">
        <v>750</v>
      </c>
      <c r="AY53">
        <v>38</v>
      </c>
      <c r="AZ53">
        <v>29.5</v>
      </c>
      <c r="BA53">
        <v>19.5</v>
      </c>
      <c r="BB53">
        <v>4</v>
      </c>
      <c r="BC53" s="3" t="s">
        <v>359</v>
      </c>
      <c r="BD53" s="16" t="s">
        <v>74</v>
      </c>
      <c r="BE53" t="s">
        <v>75</v>
      </c>
      <c r="BF53" s="49" t="e">
        <v>#N/A</v>
      </c>
      <c r="BG53" s="50" t="s">
        <v>75</v>
      </c>
      <c r="BH53" s="50" t="s">
        <v>75</v>
      </c>
      <c r="BI53" s="50" t="s">
        <v>75</v>
      </c>
    </row>
    <row r="54" spans="1:61" x14ac:dyDescent="0.25">
      <c r="A54" s="1">
        <v>46091</v>
      </c>
      <c r="B54" t="s">
        <v>362</v>
      </c>
      <c r="C54" t="s">
        <v>363</v>
      </c>
      <c r="D54" s="10" t="s">
        <v>364</v>
      </c>
      <c r="E54" t="s">
        <v>365</v>
      </c>
      <c r="F54" t="s">
        <v>62</v>
      </c>
      <c r="G54" s="67" t="s">
        <v>554</v>
      </c>
      <c r="H54" s="10" t="s">
        <v>552</v>
      </c>
      <c r="I54" t="s">
        <v>366</v>
      </c>
      <c r="J54">
        <v>1000</v>
      </c>
      <c r="K54" s="4">
        <v>46148</v>
      </c>
      <c r="L54" s="40">
        <v>0</v>
      </c>
      <c r="M54" s="40">
        <v>1000</v>
      </c>
      <c r="N54" s="5">
        <v>1.0009999999999999</v>
      </c>
      <c r="O54">
        <v>1001</v>
      </c>
      <c r="P54" t="s">
        <v>65</v>
      </c>
      <c r="Q54" s="6">
        <v>3675</v>
      </c>
      <c r="R54" s="41">
        <v>6.94E-3</v>
      </c>
      <c r="S54" s="42">
        <v>6.94</v>
      </c>
      <c r="T54" s="42">
        <v>450</v>
      </c>
      <c r="U54" s="43">
        <v>0.27777777777777779</v>
      </c>
      <c r="V54" s="44">
        <v>46133</v>
      </c>
      <c r="W54" s="45">
        <v>46148</v>
      </c>
      <c r="X54" s="46" t="s">
        <v>66</v>
      </c>
      <c r="Y54" s="44">
        <v>46154</v>
      </c>
      <c r="Z54" s="44">
        <v>46157</v>
      </c>
      <c r="AA54" s="46" t="s">
        <v>66</v>
      </c>
      <c r="AB54" s="47">
        <v>9</v>
      </c>
      <c r="AC54" s="1">
        <v>46157</v>
      </c>
      <c r="AD54" s="1">
        <v>46164</v>
      </c>
      <c r="AE54" s="3">
        <v>7</v>
      </c>
      <c r="AF54" s="3" t="s">
        <v>68</v>
      </c>
      <c r="AG54" s="3" t="s">
        <v>68</v>
      </c>
      <c r="AH54" s="3">
        <v>6.5</v>
      </c>
      <c r="AI54" s="3">
        <v>9.4285714285714288</v>
      </c>
      <c r="AK54" s="3" t="s">
        <v>69</v>
      </c>
      <c r="AL54" t="s">
        <v>70</v>
      </c>
      <c r="AM54" t="s">
        <v>71</v>
      </c>
      <c r="AN54" t="s">
        <v>72</v>
      </c>
      <c r="AO54" t="s">
        <v>62</v>
      </c>
      <c r="AP54" s="10"/>
      <c r="AQ54" s="1">
        <v>46113</v>
      </c>
      <c r="AR54" s="48" t="e">
        <v>#N/A</v>
      </c>
      <c r="AS54">
        <v>5690</v>
      </c>
      <c r="AT54">
        <v>100</v>
      </c>
      <c r="AU54" t="s">
        <v>367</v>
      </c>
      <c r="AV54">
        <v>9.3000000000000007</v>
      </c>
      <c r="AW54">
        <v>9.31</v>
      </c>
      <c r="AX54">
        <v>800</v>
      </c>
      <c r="AY54">
        <v>38</v>
      </c>
      <c r="AZ54">
        <v>29.5</v>
      </c>
      <c r="BA54">
        <v>19.5</v>
      </c>
      <c r="BB54">
        <v>2</v>
      </c>
      <c r="BC54" s="3" t="s">
        <v>365</v>
      </c>
      <c r="BD54" s="16" t="s">
        <v>74</v>
      </c>
      <c r="BE54" t="s">
        <v>75</v>
      </c>
      <c r="BF54" s="49" t="e">
        <v>#N/A</v>
      </c>
      <c r="BG54" s="50" t="s">
        <v>75</v>
      </c>
      <c r="BH54" s="50" t="s">
        <v>75</v>
      </c>
      <c r="BI54" s="50" t="s">
        <v>75</v>
      </c>
    </row>
    <row r="55" spans="1:61" x14ac:dyDescent="0.25">
      <c r="A55" s="1">
        <v>46091</v>
      </c>
      <c r="B55" t="s">
        <v>368</v>
      </c>
      <c r="C55" t="s">
        <v>369</v>
      </c>
      <c r="D55" s="10">
        <v>132134</v>
      </c>
      <c r="E55" t="s">
        <v>370</v>
      </c>
      <c r="F55" t="s">
        <v>62</v>
      </c>
      <c r="G55" s="67" t="s">
        <v>554</v>
      </c>
      <c r="H55" s="10" t="s">
        <v>551</v>
      </c>
      <c r="I55" t="s">
        <v>371</v>
      </c>
      <c r="J55" s="54">
        <v>11000</v>
      </c>
      <c r="K55" s="4" t="s">
        <v>64</v>
      </c>
      <c r="L55" s="40">
        <v>0</v>
      </c>
      <c r="M55" s="40">
        <v>11000</v>
      </c>
      <c r="N55" s="5">
        <v>0.64500000000000002</v>
      </c>
      <c r="O55">
        <v>7095</v>
      </c>
      <c r="P55" t="s">
        <v>65</v>
      </c>
      <c r="Q55" s="6">
        <v>47121.45</v>
      </c>
      <c r="R55" s="41">
        <v>7.0800000000000004E-3</v>
      </c>
      <c r="S55" s="42">
        <v>77.88000000000001</v>
      </c>
      <c r="T55" s="42">
        <v>450</v>
      </c>
      <c r="U55" s="43">
        <v>3.0555555555555554</v>
      </c>
      <c r="V55" s="44">
        <v>46133</v>
      </c>
      <c r="W55" s="45">
        <v>46148</v>
      </c>
      <c r="X55" s="46" t="s">
        <v>66</v>
      </c>
      <c r="Y55" s="44">
        <v>46154</v>
      </c>
      <c r="Z55" s="44">
        <v>46157</v>
      </c>
      <c r="AA55" s="46" t="s">
        <v>66</v>
      </c>
      <c r="AB55" s="47">
        <v>9</v>
      </c>
      <c r="AC55" s="1">
        <v>46157</v>
      </c>
      <c r="AD55" s="1">
        <v>46164</v>
      </c>
      <c r="AE55" s="3">
        <v>7</v>
      </c>
      <c r="AF55" s="3" t="s">
        <v>68</v>
      </c>
      <c r="AG55" s="3" t="s">
        <v>68</v>
      </c>
      <c r="AH55" s="3">
        <v>6.5</v>
      </c>
      <c r="AI55" s="3">
        <v>9.4285714285714288</v>
      </c>
      <c r="AK55" s="3" t="s">
        <v>69</v>
      </c>
      <c r="AL55" t="s">
        <v>70</v>
      </c>
      <c r="AM55" t="s">
        <v>71</v>
      </c>
      <c r="AN55" t="s">
        <v>72</v>
      </c>
      <c r="AO55" t="s">
        <v>62</v>
      </c>
      <c r="AP55" s="10"/>
      <c r="AQ55" s="1">
        <v>46132</v>
      </c>
      <c r="AR55" s="48" t="e">
        <v>#N/A</v>
      </c>
      <c r="AS55">
        <v>5671</v>
      </c>
      <c r="AT55">
        <v>100</v>
      </c>
      <c r="AU55" t="s">
        <v>372</v>
      </c>
      <c r="AV55">
        <v>1.48</v>
      </c>
      <c r="AW55">
        <v>4.71</v>
      </c>
      <c r="AX55">
        <v>2000</v>
      </c>
      <c r="AY55">
        <v>30</v>
      </c>
      <c r="AZ55">
        <v>23</v>
      </c>
      <c r="BA55">
        <v>31</v>
      </c>
      <c r="BB55">
        <v>6</v>
      </c>
      <c r="BC55" s="3" t="s">
        <v>370</v>
      </c>
      <c r="BD55" s="16" t="s">
        <v>373</v>
      </c>
      <c r="BE55" t="s">
        <v>75</v>
      </c>
      <c r="BF55" s="49" t="e">
        <v>#N/A</v>
      </c>
      <c r="BG55" s="50" t="s">
        <v>75</v>
      </c>
      <c r="BH55" s="50" t="s">
        <v>75</v>
      </c>
      <c r="BI55" s="50" t="s">
        <v>75</v>
      </c>
    </row>
    <row r="56" spans="1:61" x14ac:dyDescent="0.25">
      <c r="A56" s="1">
        <v>46091</v>
      </c>
      <c r="B56" t="s">
        <v>374</v>
      </c>
      <c r="C56" t="s">
        <v>375</v>
      </c>
      <c r="D56" s="10" t="s">
        <v>376</v>
      </c>
      <c r="E56" t="s">
        <v>377</v>
      </c>
      <c r="F56" t="s">
        <v>62</v>
      </c>
      <c r="G56" s="67" t="s">
        <v>554</v>
      </c>
      <c r="H56" s="10" t="s">
        <v>552</v>
      </c>
      <c r="I56" t="s">
        <v>378</v>
      </c>
      <c r="J56" s="54">
        <v>8000</v>
      </c>
      <c r="K56" s="4">
        <v>46149</v>
      </c>
      <c r="L56" s="40">
        <v>0</v>
      </c>
      <c r="M56" s="40">
        <v>8000</v>
      </c>
      <c r="N56" s="5">
        <v>1.3260000000000001</v>
      </c>
      <c r="O56">
        <v>10608</v>
      </c>
      <c r="P56" t="s">
        <v>65</v>
      </c>
      <c r="Q56" s="6">
        <v>13325</v>
      </c>
      <c r="R56" s="41">
        <v>1.111E-2</v>
      </c>
      <c r="S56" s="42">
        <v>88.88</v>
      </c>
      <c r="T56" s="42">
        <v>400</v>
      </c>
      <c r="U56" s="43">
        <v>2.5</v>
      </c>
      <c r="V56" s="44">
        <v>46133</v>
      </c>
      <c r="W56" s="45">
        <v>46148</v>
      </c>
      <c r="X56" s="46" t="s">
        <v>66</v>
      </c>
      <c r="Y56" s="44">
        <v>46154</v>
      </c>
      <c r="Z56" s="44">
        <v>46157</v>
      </c>
      <c r="AA56" s="46" t="s">
        <v>66</v>
      </c>
      <c r="AB56" s="47">
        <v>9</v>
      </c>
      <c r="AC56" s="1">
        <v>46157</v>
      </c>
      <c r="AD56" s="1">
        <v>46164</v>
      </c>
      <c r="AE56" s="3">
        <v>7</v>
      </c>
      <c r="AF56" s="3" t="s">
        <v>68</v>
      </c>
      <c r="AG56" s="3" t="s">
        <v>68</v>
      </c>
      <c r="AH56" s="3">
        <v>6.5</v>
      </c>
      <c r="AI56" s="3">
        <v>9.4285714285714288</v>
      </c>
      <c r="AK56" s="3" t="s">
        <v>69</v>
      </c>
      <c r="AL56" t="s">
        <v>70</v>
      </c>
      <c r="AM56" t="s">
        <v>71</v>
      </c>
      <c r="AN56" t="s">
        <v>72</v>
      </c>
      <c r="AO56" t="s">
        <v>62</v>
      </c>
      <c r="AP56" s="10"/>
      <c r="AQ56" s="1">
        <v>46142</v>
      </c>
      <c r="AR56" s="48" t="e">
        <v>#N/A</v>
      </c>
      <c r="AS56">
        <v>5663</v>
      </c>
      <c r="AT56">
        <v>100</v>
      </c>
      <c r="AU56" t="s">
        <v>379</v>
      </c>
      <c r="AV56">
        <v>4.2</v>
      </c>
      <c r="AW56">
        <v>6.33</v>
      </c>
      <c r="AX56">
        <v>1000</v>
      </c>
      <c r="AY56">
        <v>38</v>
      </c>
      <c r="AZ56">
        <v>29.5</v>
      </c>
      <c r="BA56">
        <v>19.5</v>
      </c>
      <c r="BB56">
        <v>8</v>
      </c>
      <c r="BC56" s="3" t="s">
        <v>377</v>
      </c>
      <c r="BD56" s="16" t="s">
        <v>380</v>
      </c>
      <c r="BE56" t="s">
        <v>75</v>
      </c>
      <c r="BF56" s="49" t="e">
        <v>#N/A</v>
      </c>
      <c r="BG56" s="50" t="s">
        <v>75</v>
      </c>
      <c r="BH56" s="50" t="s">
        <v>75</v>
      </c>
      <c r="BI56" s="50" t="s">
        <v>75</v>
      </c>
    </row>
    <row r="57" spans="1:61" x14ac:dyDescent="0.25">
      <c r="A57" s="1">
        <v>46091</v>
      </c>
      <c r="B57" t="s">
        <v>381</v>
      </c>
      <c r="C57" t="s">
        <v>382</v>
      </c>
      <c r="D57" s="10" t="s">
        <v>383</v>
      </c>
      <c r="E57" t="s">
        <v>384</v>
      </c>
      <c r="F57" t="s">
        <v>62</v>
      </c>
      <c r="G57" s="39"/>
      <c r="H57" s="10" t="s">
        <v>553</v>
      </c>
      <c r="I57" t="s">
        <v>385</v>
      </c>
      <c r="J57" s="54">
        <v>2000</v>
      </c>
      <c r="K57" s="4" t="s">
        <v>386</v>
      </c>
      <c r="L57" s="40">
        <v>0</v>
      </c>
      <c r="M57" s="40">
        <v>2000</v>
      </c>
      <c r="N57" s="5">
        <v>2.0430000000000001</v>
      </c>
      <c r="O57">
        <v>4086</v>
      </c>
      <c r="P57" t="s">
        <v>65</v>
      </c>
      <c r="Q57" s="6"/>
      <c r="R57" s="41">
        <v>1.528E-2</v>
      </c>
      <c r="S57" s="42">
        <v>30.56</v>
      </c>
      <c r="T57" s="42">
        <v>300</v>
      </c>
      <c r="U57" s="43">
        <v>0.83333333333333337</v>
      </c>
      <c r="V57" s="44">
        <v>46140</v>
      </c>
      <c r="W57" s="45">
        <v>46155</v>
      </c>
      <c r="X57" s="46" t="s">
        <v>66</v>
      </c>
      <c r="Y57" s="44">
        <v>46154</v>
      </c>
      <c r="Z57" s="57">
        <v>46157</v>
      </c>
      <c r="AA57" s="46" t="s">
        <v>66</v>
      </c>
      <c r="AB57" s="47">
        <v>2</v>
      </c>
      <c r="AC57" s="1">
        <v>46157</v>
      </c>
      <c r="AD57" s="1">
        <v>46164</v>
      </c>
      <c r="AE57" s="3">
        <v>7</v>
      </c>
      <c r="AF57" s="3" t="s">
        <v>68</v>
      </c>
      <c r="AG57" s="3" t="s">
        <v>68</v>
      </c>
      <c r="AH57" s="3">
        <v>6.5</v>
      </c>
      <c r="AI57" s="3">
        <v>9.4285714285714288</v>
      </c>
      <c r="AK57" s="3" t="s">
        <v>69</v>
      </c>
      <c r="AL57" t="s">
        <v>70</v>
      </c>
      <c r="AM57" t="s">
        <v>71</v>
      </c>
      <c r="AN57" t="s">
        <v>72</v>
      </c>
      <c r="AO57" t="s">
        <v>62</v>
      </c>
      <c r="AP57" s="10"/>
      <c r="AQ57" s="1">
        <v>46144</v>
      </c>
      <c r="AR57" s="48" t="e">
        <v>#N/A</v>
      </c>
      <c r="AS57">
        <v>5661</v>
      </c>
      <c r="AT57">
        <v>100</v>
      </c>
      <c r="AU57" t="s">
        <v>387</v>
      </c>
      <c r="AV57">
        <v>4.03</v>
      </c>
      <c r="AW57">
        <v>6.65</v>
      </c>
      <c r="AX57">
        <v>1000</v>
      </c>
      <c r="AY57">
        <v>38</v>
      </c>
      <c r="AZ57">
        <v>29.5</v>
      </c>
      <c r="BA57">
        <v>19.5</v>
      </c>
      <c r="BB57">
        <v>2</v>
      </c>
      <c r="BC57" s="3" t="s">
        <v>384</v>
      </c>
      <c r="BD57" s="16" t="s">
        <v>74</v>
      </c>
      <c r="BE57" t="s">
        <v>75</v>
      </c>
      <c r="BF57" s="49" t="e">
        <v>#N/A</v>
      </c>
      <c r="BG57" s="50" t="s">
        <v>75</v>
      </c>
      <c r="BH57" s="50" t="s">
        <v>75</v>
      </c>
      <c r="BI57" s="50" t="s">
        <v>75</v>
      </c>
    </row>
    <row r="58" spans="1:61" x14ac:dyDescent="0.25">
      <c r="A58" s="1">
        <v>46092</v>
      </c>
      <c r="B58" t="s">
        <v>388</v>
      </c>
      <c r="C58" s="10" t="s">
        <v>389</v>
      </c>
      <c r="D58" s="10" t="s">
        <v>390</v>
      </c>
      <c r="E58" t="s">
        <v>391</v>
      </c>
      <c r="F58" t="s">
        <v>62</v>
      </c>
      <c r="G58" s="39"/>
      <c r="H58" s="10" t="s">
        <v>553</v>
      </c>
      <c r="I58" t="s">
        <v>392</v>
      </c>
      <c r="J58" s="54">
        <v>1500</v>
      </c>
      <c r="K58" s="4" t="s">
        <v>386</v>
      </c>
      <c r="L58" s="40">
        <v>0</v>
      </c>
      <c r="M58" s="40">
        <v>1500</v>
      </c>
      <c r="N58" s="5">
        <v>0.88600000000000001</v>
      </c>
      <c r="O58">
        <v>1329</v>
      </c>
      <c r="P58" t="s">
        <v>65</v>
      </c>
      <c r="Q58" s="6"/>
      <c r="R58" s="41">
        <v>1.111E-2</v>
      </c>
      <c r="S58" s="42">
        <v>16.664999999999999</v>
      </c>
      <c r="T58" s="42">
        <v>360</v>
      </c>
      <c r="U58" s="43">
        <v>0.52083333333333337</v>
      </c>
      <c r="V58" s="44">
        <v>46140</v>
      </c>
      <c r="W58" s="45">
        <v>46155</v>
      </c>
      <c r="X58" s="46" t="s">
        <v>66</v>
      </c>
      <c r="Y58" s="44">
        <v>46154</v>
      </c>
      <c r="Z58" s="57">
        <v>46157</v>
      </c>
      <c r="AA58" s="46" t="s">
        <v>66</v>
      </c>
      <c r="AB58" s="47">
        <v>2</v>
      </c>
      <c r="AC58" s="1">
        <v>46171</v>
      </c>
      <c r="AD58" s="1">
        <v>46171</v>
      </c>
      <c r="AE58" s="3">
        <v>14</v>
      </c>
      <c r="AF58" s="3" t="s">
        <v>68</v>
      </c>
      <c r="AG58" s="3" t="s">
        <v>68</v>
      </c>
      <c r="AH58" s="3">
        <v>5.5</v>
      </c>
      <c r="AI58" s="3">
        <v>9.2857142857142865</v>
      </c>
      <c r="AK58" s="3" t="s">
        <v>69</v>
      </c>
      <c r="AL58" t="s">
        <v>70</v>
      </c>
      <c r="AM58" t="s">
        <v>393</v>
      </c>
      <c r="AN58" t="s">
        <v>72</v>
      </c>
      <c r="AP58" s="10"/>
      <c r="AQ58" s="1">
        <v>46120</v>
      </c>
      <c r="AR58" s="48" t="e">
        <v>#N/A</v>
      </c>
      <c r="AS58">
        <v>5755</v>
      </c>
      <c r="AT58">
        <v>100</v>
      </c>
      <c r="AU58" t="s">
        <v>394</v>
      </c>
      <c r="AV58">
        <v>2.54</v>
      </c>
      <c r="AW58">
        <v>5.0999999999999996</v>
      </c>
      <c r="AX58">
        <v>1000</v>
      </c>
      <c r="AY58">
        <v>38</v>
      </c>
      <c r="AZ58">
        <v>29.5</v>
      </c>
      <c r="BA58">
        <v>19.5</v>
      </c>
      <c r="BB58">
        <v>2</v>
      </c>
      <c r="BC58" s="3" t="s">
        <v>391</v>
      </c>
      <c r="BD58" s="16" t="s">
        <v>74</v>
      </c>
      <c r="BE58" t="s">
        <v>75</v>
      </c>
      <c r="BF58" s="49" t="e">
        <v>#N/A</v>
      </c>
      <c r="BG58" s="50" t="s">
        <v>75</v>
      </c>
      <c r="BH58" s="50" t="s">
        <v>75</v>
      </c>
      <c r="BI58" s="50" t="s">
        <v>75</v>
      </c>
    </row>
    <row r="59" spans="1:61" x14ac:dyDescent="0.25">
      <c r="A59" s="1">
        <v>46093</v>
      </c>
      <c r="B59" t="s">
        <v>395</v>
      </c>
      <c r="C59" s="10" t="s">
        <v>396</v>
      </c>
      <c r="D59" s="10">
        <v>132360</v>
      </c>
      <c r="E59" t="s">
        <v>397</v>
      </c>
      <c r="F59" t="s">
        <v>62</v>
      </c>
      <c r="G59" s="39"/>
      <c r="H59" s="10" t="s">
        <v>551</v>
      </c>
      <c r="I59" t="s">
        <v>398</v>
      </c>
      <c r="J59">
        <v>13000</v>
      </c>
      <c r="K59" s="4" t="s">
        <v>64</v>
      </c>
      <c r="L59" s="40">
        <v>0</v>
      </c>
      <c r="M59" s="40">
        <v>13000</v>
      </c>
      <c r="N59">
        <v>0.75900000000000001</v>
      </c>
      <c r="O59">
        <v>9867</v>
      </c>
      <c r="P59" t="s">
        <v>14</v>
      </c>
      <c r="Q59" s="6"/>
      <c r="R59" s="41">
        <v>1.7780000000000001E-2</v>
      </c>
      <c r="S59" s="42">
        <v>231.14000000000001</v>
      </c>
      <c r="T59" s="42">
        <v>320</v>
      </c>
      <c r="U59" s="43">
        <v>5.078125</v>
      </c>
      <c r="V59" s="44">
        <v>46133</v>
      </c>
      <c r="W59" s="45">
        <v>46148</v>
      </c>
      <c r="X59" s="46" t="s">
        <v>66</v>
      </c>
      <c r="Y59" s="44">
        <v>46154</v>
      </c>
      <c r="Z59" s="44">
        <v>46157</v>
      </c>
      <c r="AA59" s="46" t="s">
        <v>66</v>
      </c>
      <c r="AB59" s="47">
        <v>9</v>
      </c>
      <c r="AC59" s="1">
        <v>46157</v>
      </c>
      <c r="AD59" s="1">
        <v>46171</v>
      </c>
      <c r="AE59" s="3">
        <v>6</v>
      </c>
      <c r="AF59" s="3" t="s">
        <v>68</v>
      </c>
      <c r="AG59" s="3" t="s">
        <v>68</v>
      </c>
      <c r="AH59" s="3">
        <v>4.5</v>
      </c>
      <c r="AI59" s="3">
        <v>9.1428571428571423</v>
      </c>
      <c r="AK59" s="3" t="s">
        <v>69</v>
      </c>
      <c r="AL59" t="s">
        <v>70</v>
      </c>
      <c r="AM59" t="s">
        <v>71</v>
      </c>
      <c r="AN59" t="s">
        <v>72</v>
      </c>
      <c r="AP59" s="10"/>
      <c r="AQ59" s="1">
        <v>46121</v>
      </c>
      <c r="AR59" s="48" t="e">
        <v>#N/A</v>
      </c>
      <c r="AS59">
        <v>5808</v>
      </c>
      <c r="AT59">
        <v>100</v>
      </c>
      <c r="AU59" t="s">
        <v>399</v>
      </c>
      <c r="AV59">
        <v>2.2599999999999998</v>
      </c>
      <c r="AW59">
        <v>4.8499999999999996</v>
      </c>
      <c r="AX59">
        <v>1000</v>
      </c>
      <c r="AY59">
        <v>36</v>
      </c>
      <c r="AZ59">
        <v>34</v>
      </c>
      <c r="BA59">
        <v>24.5</v>
      </c>
      <c r="BB59">
        <v>13</v>
      </c>
      <c r="BC59" s="3" t="s">
        <v>397</v>
      </c>
      <c r="BD59" t="s">
        <v>74</v>
      </c>
      <c r="BE59" t="s">
        <v>100</v>
      </c>
      <c r="BF59" s="49" t="e">
        <v>#N/A</v>
      </c>
      <c r="BG59" s="50" t="s">
        <v>75</v>
      </c>
      <c r="BH59" s="50" t="s">
        <v>75</v>
      </c>
      <c r="BI59" s="50" t="s">
        <v>75</v>
      </c>
    </row>
    <row r="60" spans="1:61" x14ac:dyDescent="0.25">
      <c r="A60" s="1">
        <v>46093</v>
      </c>
      <c r="B60" t="s">
        <v>400</v>
      </c>
      <c r="C60" s="10" t="s">
        <v>401</v>
      </c>
      <c r="D60" s="10">
        <v>132139</v>
      </c>
      <c r="E60" t="s">
        <v>402</v>
      </c>
      <c r="F60" t="s">
        <v>62</v>
      </c>
      <c r="G60" s="67" t="s">
        <v>554</v>
      </c>
      <c r="H60" s="10" t="s">
        <v>552</v>
      </c>
      <c r="I60" t="s">
        <v>403</v>
      </c>
      <c r="J60">
        <v>2000</v>
      </c>
      <c r="K60" s="4">
        <v>46149</v>
      </c>
      <c r="L60" s="40">
        <v>0</v>
      </c>
      <c r="M60" s="40">
        <v>2000</v>
      </c>
      <c r="N60">
        <v>1.1719999999999999</v>
      </c>
      <c r="O60">
        <v>2344</v>
      </c>
      <c r="P60" t="s">
        <v>65</v>
      </c>
      <c r="Q60" s="6">
        <v>5357.6</v>
      </c>
      <c r="R60" s="41">
        <v>9.4400000000000005E-3</v>
      </c>
      <c r="S60" s="42">
        <v>18.880000000000003</v>
      </c>
      <c r="T60" s="42">
        <v>350</v>
      </c>
      <c r="U60" s="43">
        <v>0.7142857142857143</v>
      </c>
      <c r="V60" s="44">
        <v>46133</v>
      </c>
      <c r="W60" s="45">
        <v>46148</v>
      </c>
      <c r="X60" s="46" t="s">
        <v>66</v>
      </c>
      <c r="Y60" s="44">
        <v>46154</v>
      </c>
      <c r="Z60" s="44">
        <v>46157</v>
      </c>
      <c r="AA60" s="46" t="s">
        <v>66</v>
      </c>
      <c r="AB60" s="47">
        <v>9</v>
      </c>
      <c r="AC60" s="1">
        <v>46157</v>
      </c>
      <c r="AD60" s="1">
        <v>46157</v>
      </c>
      <c r="AE60" s="3">
        <v>13</v>
      </c>
      <c r="AF60" s="3" t="s">
        <v>68</v>
      </c>
      <c r="AG60" s="3" t="s">
        <v>68</v>
      </c>
      <c r="AH60" s="3">
        <v>4.5</v>
      </c>
      <c r="AI60" s="3">
        <v>9.1428571428571423</v>
      </c>
      <c r="AK60" s="3" t="s">
        <v>69</v>
      </c>
      <c r="AL60" t="s">
        <v>70</v>
      </c>
      <c r="AM60" t="s">
        <v>71</v>
      </c>
      <c r="AN60" t="s">
        <v>72</v>
      </c>
      <c r="AP60" s="10"/>
      <c r="AQ60" s="1">
        <v>46121</v>
      </c>
      <c r="AR60" s="48" t="e">
        <v>#N/A</v>
      </c>
      <c r="AS60">
        <v>5802</v>
      </c>
      <c r="AT60">
        <v>100</v>
      </c>
      <c r="AU60" t="s">
        <v>404</v>
      </c>
      <c r="AV60">
        <v>2.4900000000000002</v>
      </c>
      <c r="AW60">
        <v>4.68</v>
      </c>
      <c r="AX60">
        <v>1000</v>
      </c>
      <c r="AY60">
        <v>38</v>
      </c>
      <c r="AZ60">
        <v>29.5</v>
      </c>
      <c r="BA60">
        <v>19.5</v>
      </c>
      <c r="BB60">
        <v>2</v>
      </c>
      <c r="BC60" s="3" t="s">
        <v>402</v>
      </c>
      <c r="BD60" t="s">
        <v>74</v>
      </c>
      <c r="BE60" t="s">
        <v>75</v>
      </c>
      <c r="BF60" s="49" t="e">
        <v>#N/A</v>
      </c>
      <c r="BG60" s="50" t="s">
        <v>75</v>
      </c>
      <c r="BH60" s="50" t="s">
        <v>75</v>
      </c>
      <c r="BI60" s="50" t="s">
        <v>75</v>
      </c>
    </row>
    <row r="61" spans="1:61" x14ac:dyDescent="0.25">
      <c r="A61" s="1">
        <v>46093</v>
      </c>
      <c r="B61" t="s">
        <v>117</v>
      </c>
      <c r="C61" s="10" t="s">
        <v>118</v>
      </c>
      <c r="D61" s="10">
        <v>112533</v>
      </c>
      <c r="E61" t="s">
        <v>405</v>
      </c>
      <c r="F61" t="s">
        <v>62</v>
      </c>
      <c r="G61" s="67" t="s">
        <v>554</v>
      </c>
      <c r="H61" s="10" t="s">
        <v>551</v>
      </c>
      <c r="I61" t="s">
        <v>406</v>
      </c>
      <c r="J61">
        <v>16000</v>
      </c>
      <c r="K61" s="4" t="s">
        <v>64</v>
      </c>
      <c r="L61" s="40">
        <v>0</v>
      </c>
      <c r="M61" s="40">
        <v>16000</v>
      </c>
      <c r="N61">
        <v>0.84199999999999997</v>
      </c>
      <c r="O61">
        <v>13472</v>
      </c>
      <c r="P61" t="s">
        <v>65</v>
      </c>
      <c r="Q61" s="6">
        <v>1390</v>
      </c>
      <c r="R61" s="41">
        <v>1.391E-2</v>
      </c>
      <c r="S61" s="42">
        <v>222.56</v>
      </c>
      <c r="T61" s="42">
        <v>500</v>
      </c>
      <c r="U61" s="43">
        <v>4</v>
      </c>
      <c r="V61" s="44">
        <v>46133</v>
      </c>
      <c r="W61" s="45">
        <v>46148</v>
      </c>
      <c r="X61" s="46" t="s">
        <v>66</v>
      </c>
      <c r="Y61" s="44">
        <v>46154</v>
      </c>
      <c r="Z61" s="44">
        <v>46157</v>
      </c>
      <c r="AA61" s="46" t="s">
        <v>66</v>
      </c>
      <c r="AB61" s="47">
        <v>9</v>
      </c>
      <c r="AC61" s="1">
        <v>46157</v>
      </c>
      <c r="AD61" s="1">
        <v>46157</v>
      </c>
      <c r="AE61" s="3">
        <v>18</v>
      </c>
      <c r="AF61" s="3" t="s">
        <v>68</v>
      </c>
      <c r="AG61" s="3" t="s">
        <v>68</v>
      </c>
      <c r="AH61" s="3">
        <v>4.5</v>
      </c>
      <c r="AI61" s="3">
        <v>9.1428571428571423</v>
      </c>
      <c r="AK61" s="3" t="s">
        <v>69</v>
      </c>
      <c r="AL61" t="s">
        <v>70</v>
      </c>
      <c r="AM61" t="s">
        <v>71</v>
      </c>
      <c r="AN61" t="s">
        <v>72</v>
      </c>
      <c r="AP61" s="10"/>
      <c r="AQ61" s="1">
        <v>46121</v>
      </c>
      <c r="AR61" s="48" t="e">
        <v>#N/A</v>
      </c>
      <c r="AS61">
        <v>5797</v>
      </c>
      <c r="AT61">
        <v>100</v>
      </c>
      <c r="AU61" t="s">
        <v>407</v>
      </c>
      <c r="AV61">
        <v>10.01</v>
      </c>
      <c r="AW61">
        <v>8.8699999999999992</v>
      </c>
      <c r="AX61">
        <v>700</v>
      </c>
      <c r="AY61">
        <v>36</v>
      </c>
      <c r="AZ61">
        <v>34</v>
      </c>
      <c r="BA61">
        <v>24.5</v>
      </c>
      <c r="BB61">
        <v>23</v>
      </c>
      <c r="BC61" s="3" t="s">
        <v>405</v>
      </c>
      <c r="BD61" t="s">
        <v>74</v>
      </c>
      <c r="BE61" t="s">
        <v>75</v>
      </c>
      <c r="BF61" s="49" t="e">
        <v>#N/A</v>
      </c>
      <c r="BG61" s="50" t="s">
        <v>75</v>
      </c>
      <c r="BH61" s="50" t="s">
        <v>75</v>
      </c>
      <c r="BI61" s="50" t="s">
        <v>75</v>
      </c>
    </row>
    <row r="62" spans="1:61" x14ac:dyDescent="0.25">
      <c r="A62" s="1">
        <v>46094</v>
      </c>
      <c r="B62" t="s">
        <v>408</v>
      </c>
      <c r="C62" t="s">
        <v>409</v>
      </c>
      <c r="D62">
        <v>122486</v>
      </c>
      <c r="E62" t="s">
        <v>410</v>
      </c>
      <c r="F62" t="s">
        <v>62</v>
      </c>
      <c r="G62" s="67" t="s">
        <v>554</v>
      </c>
      <c r="H62" s="10" t="s">
        <v>551</v>
      </c>
      <c r="I62" t="s">
        <v>411</v>
      </c>
      <c r="J62">
        <v>1000</v>
      </c>
      <c r="K62" s="4" t="s">
        <v>64</v>
      </c>
      <c r="L62" s="40">
        <v>0</v>
      </c>
      <c r="M62" s="40">
        <v>1000</v>
      </c>
      <c r="N62">
        <v>0.73499999999999999</v>
      </c>
      <c r="O62">
        <v>735</v>
      </c>
      <c r="P62" t="s">
        <v>65</v>
      </c>
      <c r="Q62" s="6">
        <v>2130</v>
      </c>
      <c r="R62" s="41">
        <v>6.11E-3</v>
      </c>
      <c r="S62" s="42">
        <v>6.11</v>
      </c>
      <c r="T62" s="42">
        <v>500</v>
      </c>
      <c r="U62" s="43">
        <v>0.25</v>
      </c>
      <c r="V62" s="44">
        <v>46140</v>
      </c>
      <c r="W62" s="45">
        <v>46155</v>
      </c>
      <c r="X62" s="46" t="s">
        <v>66</v>
      </c>
      <c r="Y62" s="44">
        <v>46154</v>
      </c>
      <c r="Z62" s="44">
        <v>46157</v>
      </c>
      <c r="AA62" s="46" t="s">
        <v>66</v>
      </c>
      <c r="AB62" s="47">
        <v>2</v>
      </c>
      <c r="AC62" s="1">
        <v>46185</v>
      </c>
      <c r="AD62" s="1">
        <v>46185</v>
      </c>
      <c r="AE62" s="3">
        <v>41</v>
      </c>
      <c r="AF62" s="3" t="s">
        <v>68</v>
      </c>
      <c r="AG62" s="3" t="s">
        <v>68</v>
      </c>
      <c r="AH62">
        <v>-1.5</v>
      </c>
      <c r="AI62">
        <v>8.2857142857142865</v>
      </c>
      <c r="AK62" t="s">
        <v>68</v>
      </c>
      <c r="AL62" t="s">
        <v>70</v>
      </c>
      <c r="AM62" t="s">
        <v>71</v>
      </c>
      <c r="AN62" t="s">
        <v>72</v>
      </c>
      <c r="AP62" s="10"/>
      <c r="AQ62" s="1">
        <v>46122</v>
      </c>
      <c r="AR62" s="48" t="e">
        <v>#N/A</v>
      </c>
      <c r="AS62">
        <v>5833</v>
      </c>
      <c r="AT62">
        <v>100</v>
      </c>
      <c r="AU62" t="s">
        <v>412</v>
      </c>
      <c r="AV62">
        <v>8.91</v>
      </c>
      <c r="AW62">
        <v>8.19</v>
      </c>
      <c r="AX62">
        <v>700</v>
      </c>
      <c r="AY62">
        <v>38</v>
      </c>
      <c r="AZ62">
        <v>29.5</v>
      </c>
      <c r="BA62">
        <v>19.5</v>
      </c>
      <c r="BB62">
        <v>2</v>
      </c>
      <c r="BC62" s="3" t="s">
        <v>410</v>
      </c>
      <c r="BD62" t="s">
        <v>74</v>
      </c>
      <c r="BE62" t="s">
        <v>75</v>
      </c>
      <c r="BF62" s="49" t="e">
        <v>#N/A</v>
      </c>
      <c r="BG62" s="50" t="s">
        <v>75</v>
      </c>
      <c r="BH62" s="50" t="s">
        <v>75</v>
      </c>
      <c r="BI62" s="50" t="s">
        <v>75</v>
      </c>
    </row>
    <row r="63" spans="1:61" x14ac:dyDescent="0.25">
      <c r="A63" s="1">
        <v>46094</v>
      </c>
      <c r="B63" t="s">
        <v>413</v>
      </c>
      <c r="C63" t="s">
        <v>414</v>
      </c>
      <c r="D63" t="s">
        <v>415</v>
      </c>
      <c r="E63" t="s">
        <v>416</v>
      </c>
      <c r="F63" t="s">
        <v>62</v>
      </c>
      <c r="G63" s="67" t="s">
        <v>554</v>
      </c>
      <c r="H63" s="10" t="s">
        <v>552</v>
      </c>
      <c r="I63" t="s">
        <v>417</v>
      </c>
      <c r="J63">
        <v>2000</v>
      </c>
      <c r="K63" s="4">
        <v>46149</v>
      </c>
      <c r="L63" s="40">
        <v>0</v>
      </c>
      <c r="M63" s="40">
        <v>2000</v>
      </c>
      <c r="N63">
        <v>2.0499999999999998</v>
      </c>
      <c r="O63">
        <v>4100</v>
      </c>
      <c r="P63" t="s">
        <v>65</v>
      </c>
      <c r="Q63" s="6">
        <v>8320</v>
      </c>
      <c r="R63" s="41">
        <v>1.6760000000000001E-2</v>
      </c>
      <c r="S63" s="42">
        <v>33.520000000000003</v>
      </c>
      <c r="T63" s="42">
        <v>360</v>
      </c>
      <c r="U63" s="43">
        <v>0.69444444444444442</v>
      </c>
      <c r="V63" s="44">
        <v>46140</v>
      </c>
      <c r="W63" s="45">
        <v>46155</v>
      </c>
      <c r="X63" s="46" t="s">
        <v>66</v>
      </c>
      <c r="Y63" s="44">
        <v>46154</v>
      </c>
      <c r="Z63" s="44">
        <v>46157</v>
      </c>
      <c r="AA63" s="46" t="s">
        <v>66</v>
      </c>
      <c r="AB63" s="47">
        <v>2</v>
      </c>
      <c r="AC63" s="1">
        <v>46178</v>
      </c>
      <c r="AD63" s="1">
        <v>46178</v>
      </c>
      <c r="AE63" s="3">
        <v>41</v>
      </c>
      <c r="AF63" s="3" t="s">
        <v>68</v>
      </c>
      <c r="AG63" s="3" t="s">
        <v>68</v>
      </c>
      <c r="AH63">
        <v>-1.5</v>
      </c>
      <c r="AI63">
        <v>8.2857142857142865</v>
      </c>
      <c r="AK63" t="s">
        <v>68</v>
      </c>
      <c r="AL63" t="s">
        <v>70</v>
      </c>
      <c r="AM63" t="s">
        <v>71</v>
      </c>
      <c r="AN63" t="s">
        <v>72</v>
      </c>
      <c r="AO63" t="s">
        <v>62</v>
      </c>
      <c r="AP63" s="10"/>
      <c r="AQ63" s="1">
        <v>46122</v>
      </c>
      <c r="AR63" s="48" t="e">
        <v>#N/A</v>
      </c>
      <c r="AS63">
        <v>5820</v>
      </c>
      <c r="AT63">
        <v>100</v>
      </c>
      <c r="AU63" t="s">
        <v>418</v>
      </c>
      <c r="AV63">
        <v>37.924999999999997</v>
      </c>
      <c r="AW63">
        <v>17.059999999999999</v>
      </c>
      <c r="AX63">
        <v>400</v>
      </c>
      <c r="AY63">
        <v>36</v>
      </c>
      <c r="AZ63">
        <v>34</v>
      </c>
      <c r="BA63">
        <v>24.5</v>
      </c>
      <c r="BB63">
        <v>5</v>
      </c>
      <c r="BC63" s="3" t="s">
        <v>416</v>
      </c>
      <c r="BD63" t="s">
        <v>74</v>
      </c>
      <c r="BE63" t="s">
        <v>75</v>
      </c>
      <c r="BF63" s="49" t="e">
        <v>#N/A</v>
      </c>
      <c r="BG63" s="50" t="s">
        <v>75</v>
      </c>
      <c r="BH63" s="50" t="s">
        <v>414</v>
      </c>
      <c r="BI63" s="50" t="s">
        <v>75</v>
      </c>
    </row>
    <row r="64" spans="1:61" x14ac:dyDescent="0.25">
      <c r="A64" s="1">
        <v>46099</v>
      </c>
      <c r="B64" t="s">
        <v>419</v>
      </c>
      <c r="C64" t="s">
        <v>420</v>
      </c>
      <c r="D64" t="s">
        <v>421</v>
      </c>
      <c r="E64" t="s">
        <v>422</v>
      </c>
      <c r="F64" t="s">
        <v>423</v>
      </c>
      <c r="G64" s="39"/>
      <c r="H64" s="10" t="s">
        <v>551</v>
      </c>
      <c r="I64" t="s">
        <v>424</v>
      </c>
      <c r="J64">
        <v>1280</v>
      </c>
      <c r="K64" s="4" t="s">
        <v>64</v>
      </c>
      <c r="L64" s="40">
        <v>0</v>
      </c>
      <c r="M64" s="40">
        <v>1280</v>
      </c>
      <c r="N64" s="5">
        <v>1.1579999999999999</v>
      </c>
      <c r="O64">
        <v>1482.24</v>
      </c>
      <c r="P64" t="s">
        <v>65</v>
      </c>
      <c r="Q64" s="6"/>
      <c r="R64" s="41">
        <v>1.6670000000000001E-2</v>
      </c>
      <c r="S64" s="42">
        <v>21.337600000000002</v>
      </c>
      <c r="T64" s="42">
        <v>400</v>
      </c>
      <c r="U64" s="43">
        <v>0.4</v>
      </c>
      <c r="V64" s="44">
        <v>46140</v>
      </c>
      <c r="W64" s="45">
        <v>46155</v>
      </c>
      <c r="X64" s="46" t="s">
        <v>66</v>
      </c>
      <c r="Y64" s="44">
        <v>46154</v>
      </c>
      <c r="Z64" s="44">
        <v>46157</v>
      </c>
      <c r="AA64" s="46" t="s">
        <v>66</v>
      </c>
      <c r="AB64" s="47">
        <v>2</v>
      </c>
      <c r="AC64" s="1">
        <v>46178</v>
      </c>
      <c r="AD64" s="1">
        <v>46178</v>
      </c>
      <c r="AE64" s="3">
        <v>21</v>
      </c>
      <c r="AF64" s="3" t="s">
        <v>68</v>
      </c>
      <c r="AG64" s="3" t="s">
        <v>68</v>
      </c>
      <c r="AH64" s="3">
        <v>-1.5</v>
      </c>
      <c r="AI64" s="3">
        <v>8.2857142857142865</v>
      </c>
      <c r="AK64" s="3" t="s">
        <v>68</v>
      </c>
      <c r="AL64" t="s">
        <v>70</v>
      </c>
      <c r="AM64" t="s">
        <v>71</v>
      </c>
      <c r="AN64" t="s">
        <v>72</v>
      </c>
      <c r="AP64" s="10"/>
      <c r="AQ64" s="1">
        <v>46068</v>
      </c>
      <c r="AR64" s="48" t="e">
        <v>#N/A</v>
      </c>
      <c r="AS64">
        <v>5863</v>
      </c>
      <c r="AT64">
        <v>100</v>
      </c>
      <c r="AU64" t="s">
        <v>425</v>
      </c>
      <c r="AV64">
        <v>3.42</v>
      </c>
      <c r="AW64">
        <v>3.12</v>
      </c>
      <c r="AX64">
        <v>640</v>
      </c>
      <c r="AY64">
        <v>29</v>
      </c>
      <c r="AZ64">
        <v>22</v>
      </c>
      <c r="BA64">
        <v>17.5</v>
      </c>
      <c r="BB64">
        <v>2</v>
      </c>
      <c r="BC64" s="3" t="s">
        <v>422</v>
      </c>
      <c r="BD64" t="s">
        <v>373</v>
      </c>
      <c r="BE64" t="s">
        <v>75</v>
      </c>
      <c r="BF64" s="49" t="e">
        <v>#N/A</v>
      </c>
      <c r="BG64" s="50" t="s">
        <v>75</v>
      </c>
      <c r="BH64" s="50" t="s">
        <v>75</v>
      </c>
      <c r="BI64" s="50" t="s">
        <v>75</v>
      </c>
    </row>
    <row r="65" spans="1:61" x14ac:dyDescent="0.25">
      <c r="A65" s="1">
        <v>46101</v>
      </c>
      <c r="B65" t="s">
        <v>426</v>
      </c>
      <c r="C65" s="10" t="s">
        <v>427</v>
      </c>
      <c r="D65" s="10" t="s">
        <v>428</v>
      </c>
      <c r="E65" t="s">
        <v>429</v>
      </c>
      <c r="F65" t="s">
        <v>62</v>
      </c>
      <c r="G65" s="39"/>
      <c r="H65" s="10" t="s">
        <v>553</v>
      </c>
      <c r="I65" t="s">
        <v>430</v>
      </c>
      <c r="J65" s="54">
        <v>5000</v>
      </c>
      <c r="K65" s="4" t="s">
        <v>386</v>
      </c>
      <c r="L65" s="40">
        <v>0</v>
      </c>
      <c r="M65" s="40">
        <v>5000</v>
      </c>
      <c r="N65" s="5">
        <v>1.7849999999999999</v>
      </c>
      <c r="O65">
        <v>8925</v>
      </c>
      <c r="P65" t="s">
        <v>65</v>
      </c>
      <c r="Q65" s="6"/>
      <c r="R65" s="41">
        <v>1.771E-2</v>
      </c>
      <c r="S65" s="42">
        <v>88.55</v>
      </c>
      <c r="T65" s="42">
        <v>410</v>
      </c>
      <c r="U65" s="43">
        <v>1.524390243902439</v>
      </c>
      <c r="V65" s="44">
        <v>46158</v>
      </c>
      <c r="W65" s="45">
        <v>46173</v>
      </c>
      <c r="X65" s="46" t="s">
        <v>66</v>
      </c>
      <c r="Y65" s="44">
        <v>46154</v>
      </c>
      <c r="Z65" s="57">
        <v>46157</v>
      </c>
      <c r="AA65" s="46" t="s">
        <v>66</v>
      </c>
      <c r="AB65" s="47">
        <v>-16</v>
      </c>
      <c r="AC65" s="1">
        <v>46178</v>
      </c>
      <c r="AD65" s="1">
        <v>46178</v>
      </c>
      <c r="AE65" s="3">
        <v>21</v>
      </c>
      <c r="AF65" s="3" t="s">
        <v>68</v>
      </c>
      <c r="AG65" s="3" t="s">
        <v>68</v>
      </c>
      <c r="AH65" s="3">
        <v>-3.5</v>
      </c>
      <c r="AI65" s="3">
        <v>8</v>
      </c>
      <c r="AK65" s="3" t="s">
        <v>68</v>
      </c>
      <c r="AL65" t="s">
        <v>70</v>
      </c>
      <c r="AM65" t="s">
        <v>71</v>
      </c>
      <c r="AN65" t="s">
        <v>72</v>
      </c>
      <c r="AP65" s="10"/>
      <c r="AQ65" s="1">
        <v>46129</v>
      </c>
      <c r="AR65" s="48" t="e">
        <v>#N/A</v>
      </c>
      <c r="AS65">
        <v>5915</v>
      </c>
      <c r="AT65">
        <v>100</v>
      </c>
      <c r="AU65" t="s">
        <v>431</v>
      </c>
      <c r="AV65">
        <v>6.7</v>
      </c>
      <c r="AW65">
        <v>8.91</v>
      </c>
      <c r="AX65">
        <v>1000</v>
      </c>
      <c r="AY65">
        <v>38</v>
      </c>
      <c r="AZ65">
        <v>29.5</v>
      </c>
      <c r="BA65">
        <v>19.5</v>
      </c>
      <c r="BB65">
        <v>5</v>
      </c>
      <c r="BC65" s="3" t="s">
        <v>429</v>
      </c>
      <c r="BD65" s="16" t="s">
        <v>74</v>
      </c>
      <c r="BE65" t="s">
        <v>75</v>
      </c>
      <c r="BF65" s="49" t="e">
        <v>#N/A</v>
      </c>
      <c r="BG65" s="50" t="s">
        <v>75</v>
      </c>
      <c r="BH65" s="50" t="s">
        <v>75</v>
      </c>
      <c r="BI65" s="50" t="s">
        <v>75</v>
      </c>
    </row>
    <row r="66" spans="1:61" x14ac:dyDescent="0.25">
      <c r="A66" s="1">
        <v>46101</v>
      </c>
      <c r="B66" t="s">
        <v>222</v>
      </c>
      <c r="C66" s="10" t="s">
        <v>223</v>
      </c>
      <c r="D66" s="10">
        <v>132204</v>
      </c>
      <c r="E66" t="s">
        <v>432</v>
      </c>
      <c r="F66" t="s">
        <v>62</v>
      </c>
      <c r="G66" s="39"/>
      <c r="H66" s="10" t="s">
        <v>551</v>
      </c>
      <c r="I66" t="s">
        <v>433</v>
      </c>
      <c r="J66" s="54">
        <v>1500</v>
      </c>
      <c r="K66" s="4" t="s">
        <v>64</v>
      </c>
      <c r="L66" s="40">
        <v>0</v>
      </c>
      <c r="M66" s="40">
        <v>1500</v>
      </c>
      <c r="N66" s="5">
        <v>1.4039999999999999</v>
      </c>
      <c r="O66">
        <v>2106</v>
      </c>
      <c r="P66" t="s">
        <v>65</v>
      </c>
      <c r="Q66" s="6"/>
      <c r="R66" s="41">
        <v>9.2099999999999994E-3</v>
      </c>
      <c r="S66" s="42">
        <v>13.815</v>
      </c>
      <c r="T66" s="42">
        <v>500</v>
      </c>
      <c r="U66" s="43">
        <v>0.375</v>
      </c>
      <c r="V66" s="44">
        <v>46133</v>
      </c>
      <c r="W66" s="45">
        <v>46148</v>
      </c>
      <c r="X66" s="46" t="s">
        <v>66</v>
      </c>
      <c r="Y66" s="44">
        <v>46154</v>
      </c>
      <c r="Z66" s="44">
        <v>46157</v>
      </c>
      <c r="AA66" s="46" t="s">
        <v>66</v>
      </c>
      <c r="AB66" s="47">
        <v>9</v>
      </c>
      <c r="AC66" s="1">
        <v>46144</v>
      </c>
      <c r="AD66" s="1">
        <v>46178</v>
      </c>
      <c r="AE66" s="3">
        <v>21</v>
      </c>
      <c r="AF66" s="3" t="s">
        <v>68</v>
      </c>
      <c r="AG66" s="3" t="s">
        <v>69</v>
      </c>
      <c r="AH66" s="3">
        <v>-3.5</v>
      </c>
      <c r="AI66" s="3">
        <v>8</v>
      </c>
      <c r="AK66" s="3" t="s">
        <v>68</v>
      </c>
      <c r="AL66" t="s">
        <v>80</v>
      </c>
      <c r="AN66" t="s">
        <v>72</v>
      </c>
      <c r="AP66" s="10"/>
      <c r="AQ66" s="1">
        <v>46129</v>
      </c>
      <c r="AR66" s="48" t="e">
        <v>#N/A</v>
      </c>
      <c r="AS66">
        <v>5914</v>
      </c>
      <c r="AT66">
        <v>100</v>
      </c>
      <c r="AU66" t="s">
        <v>434</v>
      </c>
      <c r="AV66">
        <v>2.68</v>
      </c>
      <c r="AW66">
        <v>4.9400000000000004</v>
      </c>
      <c r="AX66">
        <v>1000</v>
      </c>
      <c r="AY66">
        <v>38</v>
      </c>
      <c r="AZ66">
        <v>29.5</v>
      </c>
      <c r="BA66">
        <v>19.5</v>
      </c>
      <c r="BB66">
        <v>2</v>
      </c>
      <c r="BC66" s="3" t="s">
        <v>432</v>
      </c>
      <c r="BD66" s="16" t="s">
        <v>74</v>
      </c>
      <c r="BE66" t="s">
        <v>75</v>
      </c>
      <c r="BF66" s="49" t="e">
        <v>#N/A</v>
      </c>
      <c r="BG66" s="50" t="s">
        <v>75</v>
      </c>
      <c r="BH66" s="50" t="s">
        <v>75</v>
      </c>
      <c r="BI66" s="50" t="s">
        <v>75</v>
      </c>
    </row>
    <row r="67" spans="1:61" x14ac:dyDescent="0.25">
      <c r="A67" s="1">
        <v>46106</v>
      </c>
      <c r="B67" t="s">
        <v>435</v>
      </c>
      <c r="C67" s="10" t="s">
        <v>436</v>
      </c>
      <c r="D67" s="10" t="s">
        <v>436</v>
      </c>
      <c r="E67" t="s">
        <v>437</v>
      </c>
      <c r="F67" t="s">
        <v>62</v>
      </c>
      <c r="G67" s="67" t="s">
        <v>554</v>
      </c>
      <c r="H67" s="10" t="s">
        <v>552</v>
      </c>
      <c r="I67" t="s">
        <v>438</v>
      </c>
      <c r="J67" s="54">
        <v>2000</v>
      </c>
      <c r="K67" s="4">
        <v>46149</v>
      </c>
      <c r="L67" s="40">
        <v>0</v>
      </c>
      <c r="M67" s="40">
        <v>2000</v>
      </c>
      <c r="N67" s="5">
        <v>0.56000000000000005</v>
      </c>
      <c r="O67">
        <v>1120</v>
      </c>
      <c r="P67" t="s">
        <v>65</v>
      </c>
      <c r="Q67" s="6">
        <v>10823.4</v>
      </c>
      <c r="R67" s="41">
        <v>1.061E-2</v>
      </c>
      <c r="S67" s="42">
        <v>21.22</v>
      </c>
      <c r="T67" s="42">
        <v>400</v>
      </c>
      <c r="U67" s="43">
        <v>0.625</v>
      </c>
      <c r="V67" s="44">
        <v>46137</v>
      </c>
      <c r="W67" s="45">
        <v>46152</v>
      </c>
      <c r="X67" s="46" t="s">
        <v>66</v>
      </c>
      <c r="Y67" s="44">
        <v>46154</v>
      </c>
      <c r="Z67" s="44">
        <v>46157</v>
      </c>
      <c r="AA67" s="46" t="s">
        <v>66</v>
      </c>
      <c r="AB67" s="47">
        <v>5</v>
      </c>
      <c r="AC67" s="1">
        <v>46157</v>
      </c>
      <c r="AD67" s="1">
        <v>46157</v>
      </c>
      <c r="AE67" s="3">
        <v>0</v>
      </c>
      <c r="AF67" s="3" t="s">
        <v>68</v>
      </c>
      <c r="AG67" s="3" t="s">
        <v>68</v>
      </c>
      <c r="AH67" s="3">
        <v>-8.5</v>
      </c>
      <c r="AI67" s="3">
        <v>7.2857142857142856</v>
      </c>
      <c r="AK67" s="3" t="s">
        <v>68</v>
      </c>
      <c r="AL67" t="s">
        <v>70</v>
      </c>
      <c r="AM67" t="s">
        <v>71</v>
      </c>
      <c r="AN67" t="s">
        <v>72</v>
      </c>
      <c r="AP67" s="10"/>
      <c r="AQ67" s="1">
        <v>46134</v>
      </c>
      <c r="AR67" s="48" t="e">
        <v>#N/A</v>
      </c>
      <c r="AS67">
        <v>5965</v>
      </c>
      <c r="AT67">
        <v>100</v>
      </c>
      <c r="AU67" t="s">
        <v>439</v>
      </c>
      <c r="AV67">
        <v>0.16</v>
      </c>
      <c r="AW67">
        <v>4.1399999999999997</v>
      </c>
      <c r="AX67">
        <v>2000</v>
      </c>
      <c r="AY67">
        <v>36</v>
      </c>
      <c r="AZ67">
        <v>34</v>
      </c>
      <c r="BA67">
        <v>24.5</v>
      </c>
      <c r="BB67">
        <v>1</v>
      </c>
      <c r="BC67" s="3" t="s">
        <v>437</v>
      </c>
      <c r="BD67" s="16" t="s">
        <v>74</v>
      </c>
      <c r="BE67" t="s">
        <v>75</v>
      </c>
      <c r="BF67" s="49" t="e">
        <v>#N/A</v>
      </c>
      <c r="BG67" s="50" t="s">
        <v>75</v>
      </c>
      <c r="BH67" s="50" t="s">
        <v>75</v>
      </c>
      <c r="BI67" s="50" t="s">
        <v>75</v>
      </c>
    </row>
    <row r="68" spans="1:61" x14ac:dyDescent="0.25">
      <c r="A68" s="1">
        <v>46120</v>
      </c>
      <c r="B68" t="s">
        <v>440</v>
      </c>
      <c r="C68" s="10" t="s">
        <v>441</v>
      </c>
      <c r="D68" s="10" t="s">
        <v>441</v>
      </c>
      <c r="E68" t="s">
        <v>442</v>
      </c>
      <c r="F68" t="s">
        <v>423</v>
      </c>
      <c r="G68" s="39"/>
      <c r="H68" s="10" t="s">
        <v>551</v>
      </c>
      <c r="I68" t="s">
        <v>443</v>
      </c>
      <c r="J68" s="54">
        <v>100</v>
      </c>
      <c r="K68" s="4" t="s">
        <v>64</v>
      </c>
      <c r="L68" s="40">
        <v>0</v>
      </c>
      <c r="M68">
        <v>100</v>
      </c>
      <c r="N68" s="5">
        <v>1.1969999999999998</v>
      </c>
      <c r="O68">
        <v>119.7</v>
      </c>
      <c r="P68" t="s">
        <v>65</v>
      </c>
      <c r="Q68" s="6"/>
      <c r="R68" s="41">
        <v>1.227E-2</v>
      </c>
      <c r="S68" s="42">
        <v>1.2269999999999999</v>
      </c>
      <c r="T68" s="42">
        <v>360</v>
      </c>
      <c r="U68" s="43">
        <v>3.4722222222222224E-2</v>
      </c>
      <c r="V68" s="44">
        <v>46028</v>
      </c>
      <c r="W68" s="45">
        <v>46043</v>
      </c>
      <c r="X68" s="46" t="s">
        <v>66</v>
      </c>
      <c r="Y68" s="44">
        <v>46154</v>
      </c>
      <c r="Z68" s="44">
        <v>46157</v>
      </c>
      <c r="AA68" s="46" t="s">
        <v>66</v>
      </c>
      <c r="AB68" s="47">
        <v>114</v>
      </c>
      <c r="AC68" s="1">
        <v>46206</v>
      </c>
      <c r="AD68" s="1">
        <v>46206</v>
      </c>
      <c r="AE68">
        <v>49</v>
      </c>
      <c r="AF68" s="3" t="s">
        <v>68</v>
      </c>
      <c r="AG68" s="3" t="s">
        <v>68</v>
      </c>
      <c r="AH68">
        <v>-22.5</v>
      </c>
      <c r="AI68">
        <v>5.2857142857142856</v>
      </c>
      <c r="AK68" t="s">
        <v>68</v>
      </c>
      <c r="AL68" t="s">
        <v>70</v>
      </c>
      <c r="AN68" s="58" t="s">
        <v>72</v>
      </c>
      <c r="AP68" s="10"/>
      <c r="AQ68" s="1">
        <v>46148</v>
      </c>
      <c r="AR68" s="48" t="e">
        <v>#N/A</v>
      </c>
      <c r="AS68">
        <v>6180</v>
      </c>
      <c r="AT68">
        <v>100</v>
      </c>
      <c r="AU68" t="s">
        <v>444</v>
      </c>
      <c r="AV68">
        <v>0.3</v>
      </c>
      <c r="AW68">
        <v>1.27</v>
      </c>
      <c r="AX68">
        <v>1000</v>
      </c>
      <c r="AY68">
        <v>30</v>
      </c>
      <c r="AZ68">
        <v>23</v>
      </c>
      <c r="BA68">
        <v>15</v>
      </c>
      <c r="BB68">
        <v>1</v>
      </c>
      <c r="BC68" s="16" t="s">
        <v>442</v>
      </c>
      <c r="BD68" s="16" t="s">
        <v>445</v>
      </c>
      <c r="BE68" t="s">
        <v>75</v>
      </c>
      <c r="BF68" s="49" t="e">
        <v>#N/A</v>
      </c>
      <c r="BG68" s="50" t="s">
        <v>75</v>
      </c>
      <c r="BH68" s="50" t="s">
        <v>75</v>
      </c>
      <c r="BI68" s="50" t="s">
        <v>75</v>
      </c>
    </row>
    <row r="69" spans="1:61" x14ac:dyDescent="0.25">
      <c r="A69" s="1">
        <v>46127</v>
      </c>
      <c r="B69" t="s">
        <v>446</v>
      </c>
      <c r="C69" s="10" t="s">
        <v>447</v>
      </c>
      <c r="D69" s="10" t="s">
        <v>447</v>
      </c>
      <c r="E69" t="s">
        <v>448</v>
      </c>
      <c r="F69" t="s">
        <v>423</v>
      </c>
      <c r="G69" s="39"/>
      <c r="H69" s="10" t="s">
        <v>551</v>
      </c>
      <c r="I69" t="s">
        <v>449</v>
      </c>
      <c r="J69" s="54">
        <v>600</v>
      </c>
      <c r="K69" s="4" t="s">
        <v>64</v>
      </c>
      <c r="L69" s="40">
        <v>0</v>
      </c>
      <c r="M69" s="40">
        <v>600</v>
      </c>
      <c r="N69" s="5">
        <v>0.63400000000000001</v>
      </c>
      <c r="O69">
        <v>380.4</v>
      </c>
      <c r="P69" t="s">
        <v>65</v>
      </c>
      <c r="Q69" s="6"/>
      <c r="R69" s="41">
        <v>8.0199999999999994E-3</v>
      </c>
      <c r="S69" s="42">
        <v>4.8119999999999994</v>
      </c>
      <c r="T69" s="42">
        <v>380</v>
      </c>
      <c r="U69" s="43">
        <v>0.19736842105263158</v>
      </c>
      <c r="V69" s="44">
        <v>46140</v>
      </c>
      <c r="W69" s="45">
        <v>46155</v>
      </c>
      <c r="X69" s="46" t="s">
        <v>66</v>
      </c>
      <c r="Y69" s="44">
        <v>46154</v>
      </c>
      <c r="Z69" s="44">
        <v>46157</v>
      </c>
      <c r="AA69" s="46" t="s">
        <v>66</v>
      </c>
      <c r="AB69" s="47">
        <v>2</v>
      </c>
      <c r="AC69" s="1">
        <v>46213</v>
      </c>
      <c r="AD69" s="1">
        <v>46213</v>
      </c>
      <c r="AE69">
        <v>56</v>
      </c>
      <c r="AF69" s="3" t="s">
        <v>68</v>
      </c>
      <c r="AG69" s="3" t="s">
        <v>68</v>
      </c>
      <c r="AH69">
        <v>-29.5</v>
      </c>
      <c r="AI69">
        <v>4.2857142857142856</v>
      </c>
      <c r="AK69" t="s">
        <v>68</v>
      </c>
      <c r="AL69" t="s">
        <v>70</v>
      </c>
      <c r="AN69" s="58" t="s">
        <v>72</v>
      </c>
      <c r="AP69" s="10"/>
      <c r="AQ69" s="1">
        <v>46155</v>
      </c>
      <c r="AR69" s="48" t="e">
        <v>#N/A</v>
      </c>
      <c r="AS69">
        <v>6369</v>
      </c>
      <c r="AT69">
        <v>600</v>
      </c>
      <c r="AU69" t="s">
        <v>450</v>
      </c>
      <c r="AV69">
        <v>0.68</v>
      </c>
      <c r="AW69">
        <v>1.67</v>
      </c>
      <c r="AX69">
        <v>1000</v>
      </c>
      <c r="AY69">
        <v>30</v>
      </c>
      <c r="AZ69">
        <v>23</v>
      </c>
      <c r="BA69">
        <v>15</v>
      </c>
      <c r="BB69">
        <v>1</v>
      </c>
      <c r="BC69" s="16" t="s">
        <v>448</v>
      </c>
      <c r="BD69" s="16" t="s">
        <v>445</v>
      </c>
      <c r="BE69" t="s">
        <v>75</v>
      </c>
      <c r="BF69" s="49" t="e">
        <v>#N/A</v>
      </c>
      <c r="BG69" s="50" t="s">
        <v>75</v>
      </c>
      <c r="BH69" s="50" t="s">
        <v>75</v>
      </c>
      <c r="BI69" s="50" t="s">
        <v>75</v>
      </c>
    </row>
    <row r="70" spans="1:61" x14ac:dyDescent="0.25">
      <c r="A70" s="1">
        <v>46036</v>
      </c>
      <c r="B70" t="s">
        <v>451</v>
      </c>
      <c r="C70">
        <v>5675</v>
      </c>
      <c r="D70" t="s">
        <v>452</v>
      </c>
      <c r="E70" t="s">
        <v>453</v>
      </c>
      <c r="F70" t="s">
        <v>62</v>
      </c>
      <c r="G70" s="39"/>
      <c r="H70" s="10" t="s">
        <v>551</v>
      </c>
      <c r="I70" t="s">
        <v>454</v>
      </c>
      <c r="J70">
        <v>30</v>
      </c>
      <c r="K70" s="4" t="s">
        <v>64</v>
      </c>
      <c r="L70" s="40">
        <v>0</v>
      </c>
      <c r="M70" s="40">
        <v>30</v>
      </c>
      <c r="N70" s="5">
        <v>2.093</v>
      </c>
      <c r="O70">
        <v>62.79</v>
      </c>
      <c r="P70" t="s">
        <v>65</v>
      </c>
      <c r="Q70" s="6"/>
      <c r="R70" s="41">
        <v>1.44E-2</v>
      </c>
      <c r="S70" s="42">
        <v>0.432</v>
      </c>
      <c r="T70" s="42">
        <v>300</v>
      </c>
      <c r="U70" s="43">
        <v>1.2500000000000001E-2</v>
      </c>
      <c r="V70" s="44">
        <v>46140</v>
      </c>
      <c r="W70" s="45">
        <v>46155</v>
      </c>
      <c r="X70" s="46" t="s">
        <v>66</v>
      </c>
      <c r="Y70" s="44">
        <v>46154</v>
      </c>
      <c r="Z70" s="44">
        <v>46157</v>
      </c>
      <c r="AA70" s="46" t="s">
        <v>66</v>
      </c>
      <c r="AB70" s="47">
        <v>2</v>
      </c>
      <c r="AC70" s="1">
        <v>46157</v>
      </c>
      <c r="AD70" s="1">
        <v>46157</v>
      </c>
      <c r="AE70" s="3">
        <v>-7</v>
      </c>
      <c r="AF70" s="3" t="s">
        <v>68</v>
      </c>
      <c r="AG70" s="3" t="s">
        <v>68</v>
      </c>
      <c r="AH70" s="3">
        <v>12.5</v>
      </c>
      <c r="AI70" s="3">
        <v>10.285714285714286</v>
      </c>
      <c r="AK70" s="3" t="s">
        <v>69</v>
      </c>
      <c r="AL70" t="s">
        <v>70</v>
      </c>
      <c r="AM70" t="s">
        <v>71</v>
      </c>
      <c r="AN70" t="s">
        <v>72</v>
      </c>
      <c r="AO70" t="s">
        <v>62</v>
      </c>
      <c r="AP70" s="10" t="s">
        <v>455</v>
      </c>
      <c r="AQ70" s="1">
        <v>46064</v>
      </c>
      <c r="AR70" s="48" t="e">
        <v>#N/A</v>
      </c>
      <c r="AS70">
        <v>4826</v>
      </c>
      <c r="AT70">
        <v>100</v>
      </c>
      <c r="AU70" t="s">
        <v>456</v>
      </c>
      <c r="AV70">
        <v>11.9</v>
      </c>
      <c r="AW70">
        <v>11.8</v>
      </c>
      <c r="AX70">
        <v>800</v>
      </c>
      <c r="AY70">
        <v>38</v>
      </c>
      <c r="AZ70">
        <v>29.5</v>
      </c>
      <c r="BA70">
        <v>19.5</v>
      </c>
      <c r="BB70">
        <v>1</v>
      </c>
      <c r="BC70" s="3" t="s">
        <v>453</v>
      </c>
      <c r="BD70" t="s">
        <v>457</v>
      </c>
      <c r="BE70" t="s">
        <v>75</v>
      </c>
      <c r="BF70" s="49" t="e">
        <v>#N/A</v>
      </c>
      <c r="BG70" s="50" t="s">
        <v>75</v>
      </c>
      <c r="BH70" s="50" t="s">
        <v>75</v>
      </c>
      <c r="BI70" s="50" t="s">
        <v>75</v>
      </c>
    </row>
    <row r="71" spans="1:61" x14ac:dyDescent="0.25">
      <c r="A71" s="1">
        <v>46057</v>
      </c>
      <c r="B71" t="s">
        <v>458</v>
      </c>
      <c r="C71" s="10" t="s">
        <v>459</v>
      </c>
      <c r="D71" s="10" t="s">
        <v>460</v>
      </c>
      <c r="E71" t="s">
        <v>461</v>
      </c>
      <c r="F71" t="s">
        <v>62</v>
      </c>
      <c r="G71" s="39"/>
      <c r="H71" s="10" t="s">
        <v>552</v>
      </c>
      <c r="I71" t="s">
        <v>462</v>
      </c>
      <c r="J71" s="54">
        <v>6</v>
      </c>
      <c r="K71" s="4">
        <v>46148</v>
      </c>
      <c r="L71" s="40">
        <v>0</v>
      </c>
      <c r="M71">
        <v>6</v>
      </c>
      <c r="N71" s="5">
        <v>4.1480000000000006</v>
      </c>
      <c r="O71">
        <v>24.89</v>
      </c>
      <c r="P71" t="s">
        <v>65</v>
      </c>
      <c r="Q71" s="6"/>
      <c r="R71" s="41">
        <v>2.9940000000000001E-2</v>
      </c>
      <c r="S71" s="42">
        <v>0.17964000000000002</v>
      </c>
      <c r="T71" s="42">
        <v>390</v>
      </c>
      <c r="U71" s="43">
        <v>1.9230769230769232E-3</v>
      </c>
      <c r="V71" s="44" t="s">
        <v>463</v>
      </c>
      <c r="W71" s="45" t="s">
        <v>463</v>
      </c>
      <c r="X71" s="46" t="s">
        <v>66</v>
      </c>
      <c r="Y71" s="44">
        <v>46154</v>
      </c>
      <c r="Z71" s="44">
        <v>46157</v>
      </c>
      <c r="AA71" s="46" t="s">
        <v>66</v>
      </c>
      <c r="AB71" s="47" t="s">
        <v>464</v>
      </c>
      <c r="AC71" s="1">
        <v>46157</v>
      </c>
      <c r="AD71" s="1">
        <v>46157</v>
      </c>
      <c r="AE71">
        <v>-7</v>
      </c>
      <c r="AF71" t="s">
        <v>68</v>
      </c>
      <c r="AG71" s="3" t="s">
        <v>68</v>
      </c>
      <c r="AH71">
        <v>-1.5</v>
      </c>
      <c r="AI71">
        <v>8.2857142857142865</v>
      </c>
      <c r="AK71" t="s">
        <v>68</v>
      </c>
      <c r="AL71" t="s">
        <v>70</v>
      </c>
      <c r="AM71" t="s">
        <v>71</v>
      </c>
      <c r="AN71" t="s">
        <v>72</v>
      </c>
      <c r="AO71" t="s">
        <v>62</v>
      </c>
      <c r="AP71" s="10" t="s">
        <v>455</v>
      </c>
      <c r="AQ71" s="10">
        <v>46085</v>
      </c>
      <c r="AR71" s="15" t="e">
        <v>#N/A</v>
      </c>
      <c r="AS71">
        <v>5129</v>
      </c>
      <c r="AT71">
        <v>100</v>
      </c>
      <c r="AU71" t="s">
        <v>465</v>
      </c>
      <c r="AV71">
        <v>10.3</v>
      </c>
      <c r="AW71">
        <v>6.74</v>
      </c>
      <c r="AX71">
        <v>500</v>
      </c>
      <c r="AY71">
        <v>38</v>
      </c>
      <c r="AZ71">
        <v>29.5</v>
      </c>
      <c r="BA71">
        <v>19.5</v>
      </c>
      <c r="BB71">
        <v>2</v>
      </c>
      <c r="BC71" t="s">
        <v>461</v>
      </c>
      <c r="BD71" s="16" t="s">
        <v>466</v>
      </c>
      <c r="BE71" t="s">
        <v>75</v>
      </c>
      <c r="BF71" s="49" t="e">
        <v>#N/A</v>
      </c>
      <c r="BG71" s="50" t="s">
        <v>75</v>
      </c>
      <c r="BH71" s="50" t="s">
        <v>75</v>
      </c>
      <c r="BI71" s="50" t="s">
        <v>75</v>
      </c>
    </row>
    <row r="72" spans="1:61" x14ac:dyDescent="0.25">
      <c r="A72" s="1">
        <v>46076</v>
      </c>
      <c r="B72" t="s">
        <v>467</v>
      </c>
      <c r="C72" s="10" t="s">
        <v>468</v>
      </c>
      <c r="D72" s="10" t="s">
        <v>468</v>
      </c>
      <c r="E72" t="s">
        <v>469</v>
      </c>
      <c r="F72" t="s">
        <v>62</v>
      </c>
      <c r="G72" s="39"/>
      <c r="H72" s="10" t="s">
        <v>551</v>
      </c>
      <c r="I72" t="s">
        <v>470</v>
      </c>
      <c r="J72" s="54">
        <v>400</v>
      </c>
      <c r="K72" s="4" t="s">
        <v>64</v>
      </c>
      <c r="L72">
        <v>0</v>
      </c>
      <c r="M72">
        <v>400</v>
      </c>
      <c r="N72" s="5">
        <v>0.46</v>
      </c>
      <c r="O72">
        <v>184</v>
      </c>
      <c r="P72" t="s">
        <v>14</v>
      </c>
      <c r="Q72" s="6"/>
      <c r="R72" s="41">
        <v>7.9299999999999995E-3</v>
      </c>
      <c r="S72" s="42">
        <v>3.1719999999999997</v>
      </c>
      <c r="T72" s="42">
        <v>350</v>
      </c>
      <c r="U72" s="43">
        <v>0.14285714285714285</v>
      </c>
      <c r="V72" s="44">
        <v>46112</v>
      </c>
      <c r="W72" s="45">
        <v>46127</v>
      </c>
      <c r="X72" s="46" t="s">
        <v>66</v>
      </c>
      <c r="Y72" s="44">
        <v>46133</v>
      </c>
      <c r="Z72" s="44">
        <v>46157</v>
      </c>
      <c r="AA72" s="46" t="s">
        <v>66</v>
      </c>
      <c r="AB72" s="47">
        <v>30</v>
      </c>
      <c r="AC72" s="1">
        <v>46116</v>
      </c>
      <c r="AD72" s="1">
        <v>46136</v>
      </c>
      <c r="AE72">
        <v>0</v>
      </c>
      <c r="AF72" t="s">
        <v>68</v>
      </c>
      <c r="AG72" s="3" t="s">
        <v>69</v>
      </c>
      <c r="AH72">
        <v>0.5</v>
      </c>
      <c r="AI72">
        <v>8.5714285714285712</v>
      </c>
      <c r="AK72" t="s">
        <v>69</v>
      </c>
      <c r="AL72" t="s">
        <v>80</v>
      </c>
      <c r="AN72" t="s">
        <v>72</v>
      </c>
      <c r="AO72" t="s">
        <v>62</v>
      </c>
      <c r="AP72" s="10"/>
      <c r="AQ72" s="10">
        <v>46104</v>
      </c>
      <c r="AR72" s="15" t="e">
        <v>#N/A</v>
      </c>
      <c r="AS72">
        <v>5264</v>
      </c>
      <c r="AT72">
        <v>200</v>
      </c>
      <c r="AU72" t="s">
        <v>471</v>
      </c>
      <c r="AV72">
        <v>0.79</v>
      </c>
      <c r="AW72">
        <v>16.059999999999999</v>
      </c>
      <c r="AX72">
        <v>12000</v>
      </c>
      <c r="AY72">
        <v>38</v>
      </c>
      <c r="AZ72">
        <v>36</v>
      </c>
      <c r="BA72">
        <v>36</v>
      </c>
      <c r="BB72">
        <v>1</v>
      </c>
      <c r="BC72" t="s">
        <v>469</v>
      </c>
      <c r="BD72" s="16" t="s">
        <v>211</v>
      </c>
      <c r="BE72" t="s">
        <v>75</v>
      </c>
      <c r="BF72" s="49" t="e">
        <v>#N/A</v>
      </c>
      <c r="BG72" s="50" t="s">
        <v>75</v>
      </c>
      <c r="BH72" s="50" t="s">
        <v>75</v>
      </c>
      <c r="BI72" s="50" t="s">
        <v>468</v>
      </c>
    </row>
    <row r="73" spans="1:61" x14ac:dyDescent="0.25">
      <c r="A73" s="1">
        <v>46037</v>
      </c>
      <c r="B73" t="s">
        <v>472</v>
      </c>
      <c r="C73" s="10" t="s">
        <v>473</v>
      </c>
      <c r="D73" s="10" t="s">
        <v>474</v>
      </c>
      <c r="E73" t="s">
        <v>475</v>
      </c>
      <c r="F73" t="s">
        <v>62</v>
      </c>
      <c r="G73" s="39"/>
      <c r="H73" s="10" t="s">
        <v>551</v>
      </c>
      <c r="I73" t="s">
        <v>476</v>
      </c>
      <c r="J73" s="54">
        <v>233</v>
      </c>
      <c r="K73" s="4" t="s">
        <v>64</v>
      </c>
      <c r="L73">
        <v>0</v>
      </c>
      <c r="M73">
        <v>233</v>
      </c>
      <c r="N73" s="5">
        <v>2.0449999999999999</v>
      </c>
      <c r="O73">
        <v>476.49</v>
      </c>
      <c r="P73" t="s">
        <v>65</v>
      </c>
      <c r="Q73" s="6"/>
      <c r="R73" s="41">
        <v>1.6150000000000001E-2</v>
      </c>
      <c r="S73" s="42">
        <v>3.7629500000000005</v>
      </c>
      <c r="T73" s="42">
        <v>400</v>
      </c>
      <c r="U73" s="43">
        <v>7.2812500000000002E-2</v>
      </c>
      <c r="V73" s="44">
        <v>46080</v>
      </c>
      <c r="W73" s="45">
        <v>46095</v>
      </c>
      <c r="X73" s="46" t="s">
        <v>66</v>
      </c>
      <c r="Y73" s="44">
        <v>46133</v>
      </c>
      <c r="Z73" s="44">
        <v>46157</v>
      </c>
      <c r="AA73" s="46" t="s">
        <v>66</v>
      </c>
      <c r="AB73" s="47">
        <v>62</v>
      </c>
      <c r="AC73" s="1">
        <v>46157</v>
      </c>
      <c r="AD73" s="1">
        <v>46157</v>
      </c>
      <c r="AE73">
        <v>-7</v>
      </c>
      <c r="AF73" t="s">
        <v>69</v>
      </c>
      <c r="AG73" s="3" t="s">
        <v>68</v>
      </c>
      <c r="AH73">
        <v>39.5</v>
      </c>
      <c r="AI73">
        <v>14.142857142857142</v>
      </c>
      <c r="AK73" t="s">
        <v>69</v>
      </c>
      <c r="AL73" t="s">
        <v>70</v>
      </c>
      <c r="AM73" t="s">
        <v>71</v>
      </c>
      <c r="AN73" t="s">
        <v>72</v>
      </c>
      <c r="AO73" t="s">
        <v>62</v>
      </c>
      <c r="AP73" s="10" t="s">
        <v>477</v>
      </c>
      <c r="AQ73" s="10">
        <v>46065</v>
      </c>
      <c r="AR73" s="15" t="e">
        <v>#N/A</v>
      </c>
      <c r="AS73">
        <v>4896</v>
      </c>
      <c r="AT73">
        <v>100</v>
      </c>
      <c r="AU73" t="s">
        <v>478</v>
      </c>
      <c r="AV73">
        <v>24.92</v>
      </c>
      <c r="AW73">
        <v>14.617599999999999</v>
      </c>
      <c r="AX73">
        <v>500</v>
      </c>
      <c r="AY73">
        <v>36</v>
      </c>
      <c r="AZ73">
        <v>34</v>
      </c>
      <c r="BA73">
        <v>24.5</v>
      </c>
      <c r="BB73">
        <v>10</v>
      </c>
      <c r="BC73" t="s">
        <v>475</v>
      </c>
      <c r="BD73" s="16" t="s">
        <v>74</v>
      </c>
      <c r="BE73" t="s">
        <v>75</v>
      </c>
      <c r="BF73" s="49" t="e">
        <v>#N/A</v>
      </c>
      <c r="BG73" s="50" t="s">
        <v>75</v>
      </c>
      <c r="BH73" s="50" t="s">
        <v>75</v>
      </c>
      <c r="BI73" s="50" t="s">
        <v>75</v>
      </c>
    </row>
    <row r="74" spans="1:61" x14ac:dyDescent="0.25">
      <c r="A74" s="1">
        <v>46076</v>
      </c>
      <c r="B74" t="s">
        <v>479</v>
      </c>
      <c r="C74" t="s">
        <v>480</v>
      </c>
      <c r="D74" s="10" t="s">
        <v>481</v>
      </c>
      <c r="E74" t="s">
        <v>482</v>
      </c>
      <c r="F74" t="s">
        <v>62</v>
      </c>
      <c r="G74" s="39"/>
      <c r="H74" s="10" t="s">
        <v>552</v>
      </c>
      <c r="I74" t="s">
        <v>483</v>
      </c>
      <c r="J74" s="51">
        <v>50</v>
      </c>
      <c r="K74" s="4">
        <v>46148</v>
      </c>
      <c r="L74" s="40">
        <v>0</v>
      </c>
      <c r="M74">
        <v>50</v>
      </c>
      <c r="N74" s="5">
        <v>0.81299999999999994</v>
      </c>
      <c r="O74">
        <v>40.65</v>
      </c>
      <c r="P74" t="s">
        <v>65</v>
      </c>
      <c r="Q74" s="6"/>
      <c r="R74" s="41">
        <v>6.1399999999999996E-3</v>
      </c>
      <c r="S74" s="42">
        <v>0.307</v>
      </c>
      <c r="T74" s="42">
        <v>450</v>
      </c>
      <c r="U74" s="43">
        <v>1.3888888888888888E-2</v>
      </c>
      <c r="V74" s="44" t="s">
        <v>463</v>
      </c>
      <c r="W74" s="45" t="s">
        <v>463</v>
      </c>
      <c r="X74" s="46" t="s">
        <v>484</v>
      </c>
      <c r="Y74" s="44">
        <v>46154</v>
      </c>
      <c r="Z74" s="44">
        <v>46157</v>
      </c>
      <c r="AA74" s="46" t="s">
        <v>66</v>
      </c>
      <c r="AB74" s="47" t="s">
        <v>464</v>
      </c>
      <c r="AC74" s="1">
        <v>46116</v>
      </c>
      <c r="AD74" s="1">
        <v>46136</v>
      </c>
      <c r="AE74">
        <v>-21</v>
      </c>
      <c r="AF74" t="s">
        <v>69</v>
      </c>
      <c r="AG74" s="3" t="s">
        <v>69</v>
      </c>
      <c r="AH74">
        <v>21.5</v>
      </c>
      <c r="AI74">
        <v>11.571428571428571</v>
      </c>
      <c r="AK74" t="s">
        <v>69</v>
      </c>
      <c r="AL74" t="s">
        <v>80</v>
      </c>
      <c r="AN74" t="s">
        <v>72</v>
      </c>
      <c r="AO74" t="s">
        <v>62</v>
      </c>
      <c r="AP74" s="10" t="s">
        <v>455</v>
      </c>
      <c r="AQ74" s="1">
        <v>46104</v>
      </c>
      <c r="AR74" s="48" t="e">
        <v>#N/A</v>
      </c>
      <c r="AS74">
        <v>5316</v>
      </c>
      <c r="AT74">
        <v>100</v>
      </c>
      <c r="AU74" t="s">
        <v>485</v>
      </c>
      <c r="AV74">
        <v>7.02</v>
      </c>
      <c r="AW74">
        <v>10.06</v>
      </c>
      <c r="AX74">
        <v>1000</v>
      </c>
      <c r="AY74">
        <v>36</v>
      </c>
      <c r="AZ74">
        <v>34</v>
      </c>
      <c r="BA74">
        <v>24.5</v>
      </c>
      <c r="BB74">
        <v>8</v>
      </c>
      <c r="BC74" s="3" t="s">
        <v>482</v>
      </c>
      <c r="BD74" t="s">
        <v>486</v>
      </c>
      <c r="BE74" t="s">
        <v>75</v>
      </c>
      <c r="BF74" s="49" t="e">
        <v>#N/A</v>
      </c>
      <c r="BG74" s="50" t="s">
        <v>75</v>
      </c>
      <c r="BH74" s="50" t="s">
        <v>75</v>
      </c>
      <c r="BI74" s="50" t="s">
        <v>75</v>
      </c>
    </row>
    <row r="75" spans="1:61" x14ac:dyDescent="0.25">
      <c r="A75" s="1">
        <v>46042</v>
      </c>
      <c r="B75" t="s">
        <v>487</v>
      </c>
      <c r="C75" s="10" t="s">
        <v>488</v>
      </c>
      <c r="D75" s="10">
        <v>262105</v>
      </c>
      <c r="E75" t="s">
        <v>489</v>
      </c>
      <c r="F75" t="s">
        <v>62</v>
      </c>
      <c r="G75" s="67" t="s">
        <v>554</v>
      </c>
      <c r="H75" s="10" t="s">
        <v>551</v>
      </c>
      <c r="I75" t="s">
        <v>490</v>
      </c>
      <c r="J75" s="54">
        <v>13000</v>
      </c>
      <c r="K75" s="4" t="s">
        <v>64</v>
      </c>
      <c r="L75" s="40">
        <v>0</v>
      </c>
      <c r="M75">
        <v>13000</v>
      </c>
      <c r="N75" s="5">
        <v>0.52100000000000002</v>
      </c>
      <c r="O75">
        <v>6773</v>
      </c>
      <c r="P75" t="s">
        <v>14</v>
      </c>
      <c r="Q75" s="6">
        <v>13440</v>
      </c>
      <c r="R75" s="41">
        <v>9.8700000000000003E-3</v>
      </c>
      <c r="S75" s="42">
        <v>128.31</v>
      </c>
      <c r="T75" s="42">
        <v>300</v>
      </c>
      <c r="U75" s="43">
        <v>5.416666666666667</v>
      </c>
      <c r="V75" s="44">
        <v>46098</v>
      </c>
      <c r="W75" s="45">
        <v>46113</v>
      </c>
      <c r="X75" s="46" t="s">
        <v>66</v>
      </c>
      <c r="Y75" s="44">
        <v>46140</v>
      </c>
      <c r="Z75" s="44">
        <v>46157</v>
      </c>
      <c r="AA75" s="46" t="s">
        <v>66</v>
      </c>
      <c r="AB75" s="47">
        <v>44</v>
      </c>
      <c r="AC75" s="1">
        <v>46157</v>
      </c>
      <c r="AD75" s="1">
        <v>46157</v>
      </c>
      <c r="AE75">
        <v>0</v>
      </c>
      <c r="AF75" t="s">
        <v>68</v>
      </c>
      <c r="AG75" s="3" t="s">
        <v>68</v>
      </c>
      <c r="AH75">
        <v>55.5</v>
      </c>
      <c r="AI75">
        <v>16.428571428571427</v>
      </c>
      <c r="AK75" t="s">
        <v>69</v>
      </c>
      <c r="AL75" t="s">
        <v>70</v>
      </c>
      <c r="AM75" t="s">
        <v>71</v>
      </c>
      <c r="AN75" t="s">
        <v>72</v>
      </c>
      <c r="AO75" t="s">
        <v>62</v>
      </c>
      <c r="AP75" s="10"/>
      <c r="AQ75" s="10">
        <v>46070</v>
      </c>
      <c r="AR75" s="15" t="e">
        <v>#N/A</v>
      </c>
      <c r="AS75">
        <v>4988</v>
      </c>
      <c r="AT75">
        <v>300</v>
      </c>
      <c r="AU75" t="s">
        <v>491</v>
      </c>
      <c r="AV75">
        <v>0.435</v>
      </c>
      <c r="AW75">
        <v>3.04</v>
      </c>
      <c r="AX75">
        <v>1000</v>
      </c>
      <c r="AY75">
        <v>38</v>
      </c>
      <c r="AZ75">
        <v>29.5</v>
      </c>
      <c r="BA75">
        <v>19.5</v>
      </c>
      <c r="BB75">
        <v>20</v>
      </c>
      <c r="BC75" t="s">
        <v>489</v>
      </c>
      <c r="BD75" s="16" t="s">
        <v>74</v>
      </c>
      <c r="BE75" t="s">
        <v>75</v>
      </c>
      <c r="BF75" s="49" t="e">
        <v>#N/A</v>
      </c>
      <c r="BG75" s="50" t="s">
        <v>75</v>
      </c>
      <c r="BH75" s="50" t="s">
        <v>75</v>
      </c>
      <c r="BI75" s="50" t="s">
        <v>75</v>
      </c>
    </row>
    <row r="76" spans="1:61" x14ac:dyDescent="0.25">
      <c r="A76" s="1">
        <v>46087</v>
      </c>
      <c r="B76" t="s">
        <v>492</v>
      </c>
      <c r="C76" s="10" t="s">
        <v>493</v>
      </c>
      <c r="D76" s="10" t="s">
        <v>494</v>
      </c>
      <c r="E76" t="s">
        <v>495</v>
      </c>
      <c r="F76" t="s">
        <v>62</v>
      </c>
      <c r="G76" s="39"/>
      <c r="H76" s="10" t="s">
        <v>551</v>
      </c>
      <c r="I76" t="s">
        <v>496</v>
      </c>
      <c r="J76" s="54">
        <v>2400</v>
      </c>
      <c r="K76" s="4" t="s">
        <v>64</v>
      </c>
      <c r="L76" s="40">
        <v>0</v>
      </c>
      <c r="M76">
        <v>2400</v>
      </c>
      <c r="N76" s="5">
        <v>0.39700000000000002</v>
      </c>
      <c r="O76">
        <v>952.8</v>
      </c>
      <c r="P76" t="s">
        <v>65</v>
      </c>
      <c r="Q76" s="6"/>
      <c r="R76" s="41">
        <v>6.3899999999999998E-3</v>
      </c>
      <c r="S76" s="42">
        <v>15.336</v>
      </c>
      <c r="T76" s="42">
        <v>500</v>
      </c>
      <c r="U76" s="43">
        <v>0.6</v>
      </c>
      <c r="V76" s="44">
        <v>46120</v>
      </c>
      <c r="W76" s="45">
        <v>46135</v>
      </c>
      <c r="X76" s="46" t="s">
        <v>66</v>
      </c>
      <c r="Y76" s="44">
        <v>46140</v>
      </c>
      <c r="Z76" s="44">
        <v>46157</v>
      </c>
      <c r="AA76" s="46" t="s">
        <v>66</v>
      </c>
      <c r="AB76" s="47">
        <v>22</v>
      </c>
      <c r="AC76" s="1">
        <v>46150</v>
      </c>
      <c r="AD76" s="1">
        <v>46157</v>
      </c>
      <c r="AE76">
        <v>0</v>
      </c>
      <c r="AF76" t="s">
        <v>68</v>
      </c>
      <c r="AG76" s="3" t="s">
        <v>69</v>
      </c>
      <c r="AH76">
        <v>10.5</v>
      </c>
      <c r="AI76">
        <v>10</v>
      </c>
      <c r="AK76" t="s">
        <v>69</v>
      </c>
      <c r="AL76" t="s">
        <v>70</v>
      </c>
      <c r="AM76" t="s">
        <v>71</v>
      </c>
      <c r="AN76" t="s">
        <v>72</v>
      </c>
      <c r="AO76" t="s">
        <v>62</v>
      </c>
      <c r="AP76" s="10"/>
      <c r="AQ76" s="10">
        <v>46023</v>
      </c>
      <c r="AR76" s="15" t="e">
        <v>#N/A</v>
      </c>
      <c r="AS76">
        <v>5619</v>
      </c>
      <c r="AT76">
        <v>100</v>
      </c>
      <c r="AU76" t="s">
        <v>497</v>
      </c>
      <c r="AV76">
        <v>8.5500000000000007</v>
      </c>
      <c r="AW76">
        <v>8.5500000000000007</v>
      </c>
      <c r="AX76">
        <v>800</v>
      </c>
      <c r="AY76">
        <v>36</v>
      </c>
      <c r="AZ76">
        <v>34</v>
      </c>
      <c r="BA76">
        <v>24.5</v>
      </c>
      <c r="BB76">
        <v>1</v>
      </c>
      <c r="BC76" t="s">
        <v>498</v>
      </c>
      <c r="BD76" s="16" t="s">
        <v>74</v>
      </c>
      <c r="BE76" t="s">
        <v>75</v>
      </c>
      <c r="BF76" s="49" t="e">
        <v>#N/A</v>
      </c>
      <c r="BG76" s="50" t="s">
        <v>75</v>
      </c>
      <c r="BH76" s="50" t="s">
        <v>75</v>
      </c>
      <c r="BI76" s="50" t="s">
        <v>75</v>
      </c>
    </row>
    <row r="77" spans="1:61" x14ac:dyDescent="0.25">
      <c r="A77" s="58">
        <v>46076</v>
      </c>
      <c r="B77" t="s">
        <v>499</v>
      </c>
      <c r="C77" s="10" t="s">
        <v>500</v>
      </c>
      <c r="D77" s="10" t="s">
        <v>501</v>
      </c>
      <c r="E77" t="s">
        <v>502</v>
      </c>
      <c r="F77" t="s">
        <v>62</v>
      </c>
      <c r="G77" s="39"/>
      <c r="H77" s="10" t="s">
        <v>552</v>
      </c>
      <c r="I77" t="s">
        <v>503</v>
      </c>
      <c r="J77" s="59">
        <v>25</v>
      </c>
      <c r="K77" s="4">
        <v>46148</v>
      </c>
      <c r="L77" s="60">
        <v>0</v>
      </c>
      <c r="M77">
        <v>25</v>
      </c>
      <c r="N77" s="61">
        <v>3.3010000000000002</v>
      </c>
      <c r="O77">
        <v>82.53</v>
      </c>
      <c r="P77" t="s">
        <v>65</v>
      </c>
      <c r="R77">
        <v>1.204E-2</v>
      </c>
      <c r="S77" s="42">
        <v>0.30099999999999999</v>
      </c>
      <c r="T77" s="42">
        <v>400</v>
      </c>
      <c r="U77" s="43">
        <v>7.8125E-3</v>
      </c>
      <c r="V77" s="44" t="s">
        <v>463</v>
      </c>
      <c r="W77" s="45" t="s">
        <v>463</v>
      </c>
      <c r="X77" s="46" t="s">
        <v>280</v>
      </c>
      <c r="Y77" s="44">
        <v>46154</v>
      </c>
      <c r="Z77" s="1">
        <v>46157</v>
      </c>
      <c r="AA77" s="46" t="s">
        <v>66</v>
      </c>
      <c r="AB77" s="47" t="s">
        <v>464</v>
      </c>
      <c r="AC77" s="62">
        <v>46136</v>
      </c>
      <c r="AD77" s="62">
        <v>46136</v>
      </c>
      <c r="AE77">
        <v>-21</v>
      </c>
      <c r="AF77" t="s">
        <v>69</v>
      </c>
      <c r="AG77" s="3" t="s">
        <v>69</v>
      </c>
      <c r="AH77">
        <v>21.5</v>
      </c>
      <c r="AI77">
        <v>11.571428571428571</v>
      </c>
      <c r="AK77" t="s">
        <v>69</v>
      </c>
      <c r="AL77" t="s">
        <v>70</v>
      </c>
      <c r="AM77" t="s">
        <v>71</v>
      </c>
      <c r="AN77" t="s">
        <v>72</v>
      </c>
      <c r="AO77" t="s">
        <v>62</v>
      </c>
      <c r="AP77" s="10" t="s">
        <v>504</v>
      </c>
      <c r="AQ77" s="1">
        <v>46104</v>
      </c>
      <c r="AR77" t="e">
        <v>#N/A</v>
      </c>
      <c r="AS77">
        <v>5400</v>
      </c>
      <c r="AT77">
        <v>100</v>
      </c>
      <c r="AU77" t="s">
        <v>505</v>
      </c>
      <c r="AV77">
        <v>5.75</v>
      </c>
      <c r="AW77">
        <v>6.91</v>
      </c>
      <c r="AX77">
        <v>800</v>
      </c>
      <c r="AY77">
        <v>36</v>
      </c>
      <c r="AZ77">
        <v>34</v>
      </c>
      <c r="BA77">
        <v>24.5</v>
      </c>
      <c r="BB77">
        <v>3</v>
      </c>
      <c r="BC77" t="s">
        <v>502</v>
      </c>
      <c r="BD77" t="s">
        <v>506</v>
      </c>
      <c r="BE77" t="s">
        <v>75</v>
      </c>
      <c r="BF77" s="49" t="e">
        <v>#N/A</v>
      </c>
      <c r="BG77" s="50" t="s">
        <v>75</v>
      </c>
      <c r="BH77" s="50" t="s">
        <v>75</v>
      </c>
      <c r="BI77" s="50" t="s">
        <v>75</v>
      </c>
    </row>
    <row r="78" spans="1:61" x14ac:dyDescent="0.25">
      <c r="A78" s="1">
        <v>46079</v>
      </c>
      <c r="B78" t="s">
        <v>507</v>
      </c>
      <c r="C78" t="s">
        <v>508</v>
      </c>
      <c r="D78" t="s">
        <v>509</v>
      </c>
      <c r="E78" t="s">
        <v>510</v>
      </c>
      <c r="F78" t="s">
        <v>62</v>
      </c>
      <c r="G78" s="39"/>
      <c r="H78" s="10" t="s">
        <v>552</v>
      </c>
      <c r="I78" t="s">
        <v>511</v>
      </c>
      <c r="J78">
        <v>38</v>
      </c>
      <c r="K78" s="4">
        <v>46148</v>
      </c>
      <c r="L78" s="40">
        <v>0</v>
      </c>
      <c r="M78">
        <v>38</v>
      </c>
      <c r="N78">
        <v>1.1439999999999999</v>
      </c>
      <c r="O78">
        <v>43.47</v>
      </c>
      <c r="P78" t="s">
        <v>65</v>
      </c>
      <c r="Q78" s="6"/>
      <c r="R78" s="41">
        <v>3.2349999999999997E-2</v>
      </c>
      <c r="S78" s="42">
        <v>1.2292999999999998</v>
      </c>
      <c r="T78" s="42">
        <v>150</v>
      </c>
      <c r="U78" s="43">
        <v>3.1666666666666669E-2</v>
      </c>
      <c r="V78" s="44" t="s">
        <v>463</v>
      </c>
      <c r="W78" s="45" t="s">
        <v>463</v>
      </c>
      <c r="X78" s="46" t="s">
        <v>512</v>
      </c>
      <c r="Y78" s="44">
        <v>46154</v>
      </c>
      <c r="Z78" s="1">
        <v>46157</v>
      </c>
      <c r="AA78" s="46" t="s">
        <v>66</v>
      </c>
      <c r="AB78" s="47" t="s">
        <v>464</v>
      </c>
      <c r="AC78" s="1">
        <v>46123</v>
      </c>
      <c r="AD78" s="1">
        <v>46157</v>
      </c>
      <c r="AE78">
        <v>0</v>
      </c>
      <c r="AF78" t="s">
        <v>68</v>
      </c>
      <c r="AG78" s="3" t="s">
        <v>69</v>
      </c>
      <c r="AH78">
        <v>18.5</v>
      </c>
      <c r="AI78">
        <v>11.142857142857142</v>
      </c>
      <c r="AK78" t="s">
        <v>69</v>
      </c>
      <c r="AL78" t="s">
        <v>80</v>
      </c>
      <c r="AN78" t="s">
        <v>72</v>
      </c>
      <c r="AO78" t="s">
        <v>62</v>
      </c>
      <c r="AP78" s="10" t="s">
        <v>504</v>
      </c>
      <c r="AQ78" s="1">
        <v>46107</v>
      </c>
      <c r="AR78" s="48" t="e">
        <v>#N/A</v>
      </c>
      <c r="AS78">
        <v>5479</v>
      </c>
      <c r="AT78">
        <v>100</v>
      </c>
      <c r="AU78" t="s">
        <v>513</v>
      </c>
      <c r="AV78">
        <v>2.72</v>
      </c>
      <c r="AW78">
        <v>4.88</v>
      </c>
      <c r="AX78">
        <v>1000</v>
      </c>
      <c r="AY78">
        <v>38</v>
      </c>
      <c r="AZ78">
        <v>29.5</v>
      </c>
      <c r="BA78">
        <v>19.5</v>
      </c>
      <c r="BB78">
        <v>1</v>
      </c>
      <c r="BC78" s="3" t="s">
        <v>510</v>
      </c>
      <c r="BD78" t="s">
        <v>514</v>
      </c>
      <c r="BE78" t="s">
        <v>100</v>
      </c>
      <c r="BF78" s="49" t="e">
        <v>#N/A</v>
      </c>
      <c r="BG78" s="50" t="s">
        <v>75</v>
      </c>
      <c r="BH78" s="50" t="s">
        <v>75</v>
      </c>
      <c r="BI78" s="50" t="s">
        <v>75</v>
      </c>
    </row>
    <row r="79" spans="1:61" x14ac:dyDescent="0.25">
      <c r="A79" s="1">
        <v>46042</v>
      </c>
      <c r="B79" t="s">
        <v>487</v>
      </c>
      <c r="C79" s="10" t="s">
        <v>488</v>
      </c>
      <c r="D79" s="10">
        <v>262105</v>
      </c>
      <c r="E79" t="s">
        <v>489</v>
      </c>
      <c r="F79" t="s">
        <v>62</v>
      </c>
      <c r="G79" s="67" t="s">
        <v>554</v>
      </c>
      <c r="H79" s="10" t="s">
        <v>551</v>
      </c>
      <c r="I79" t="s">
        <v>515</v>
      </c>
      <c r="J79" s="54">
        <v>7000</v>
      </c>
      <c r="K79" s="4" t="s">
        <v>64</v>
      </c>
      <c r="L79">
        <v>0</v>
      </c>
      <c r="M79">
        <v>10000</v>
      </c>
      <c r="N79" s="5">
        <v>0.52100000000000002</v>
      </c>
      <c r="O79">
        <v>5210</v>
      </c>
      <c r="P79" t="s">
        <v>14</v>
      </c>
      <c r="Q79" s="6">
        <v>13440</v>
      </c>
      <c r="R79" s="63">
        <v>9.8700000000000003E-3</v>
      </c>
      <c r="S79" s="64">
        <v>98.7</v>
      </c>
      <c r="T79" s="65">
        <v>300</v>
      </c>
      <c r="U79" s="66">
        <v>4.166666666666667</v>
      </c>
      <c r="V79" s="54">
        <v>46098</v>
      </c>
      <c r="W79" s="14">
        <v>46113</v>
      </c>
      <c r="X79" s="14" t="s">
        <v>66</v>
      </c>
      <c r="Y79" s="44">
        <v>46147</v>
      </c>
      <c r="Z79" s="44">
        <v>46157</v>
      </c>
      <c r="AA79" s="14" t="s">
        <v>66</v>
      </c>
      <c r="AB79" s="14">
        <v>37</v>
      </c>
      <c r="AC79" s="1">
        <v>46150</v>
      </c>
      <c r="AD79" s="1">
        <v>46150</v>
      </c>
      <c r="AE79">
        <v>0</v>
      </c>
      <c r="AF79" t="s">
        <v>68</v>
      </c>
      <c r="AG79" t="s">
        <v>68</v>
      </c>
      <c r="AH79">
        <v>48.5</v>
      </c>
      <c r="AI79">
        <v>15.428571428571429</v>
      </c>
      <c r="AK79" t="s">
        <v>69</v>
      </c>
      <c r="AL79" t="s">
        <v>70</v>
      </c>
      <c r="AM79" t="s">
        <v>71</v>
      </c>
      <c r="AN79" t="s">
        <v>72</v>
      </c>
      <c r="AO79" t="s">
        <v>62</v>
      </c>
      <c r="AP79" s="10"/>
      <c r="AQ79" s="10">
        <v>46070</v>
      </c>
      <c r="AR79" s="15" t="e">
        <v>#N/A</v>
      </c>
      <c r="AS79">
        <v>4988</v>
      </c>
      <c r="AT79">
        <v>400</v>
      </c>
      <c r="AU79" t="s">
        <v>516</v>
      </c>
      <c r="AV79">
        <v>0.435</v>
      </c>
      <c r="AW79">
        <v>3.04</v>
      </c>
      <c r="AX79">
        <v>1000</v>
      </c>
      <c r="AY79">
        <v>38</v>
      </c>
      <c r="AZ79">
        <v>29.5</v>
      </c>
      <c r="BA79">
        <v>19.5</v>
      </c>
      <c r="BB79">
        <v>10</v>
      </c>
      <c r="BC79" t="s">
        <v>489</v>
      </c>
      <c r="BD79" s="16" t="s">
        <v>74</v>
      </c>
      <c r="BE79" t="s">
        <v>75</v>
      </c>
      <c r="BF79" t="e">
        <v>#N/A</v>
      </c>
      <c r="BG79" t="s">
        <v>75</v>
      </c>
      <c r="BH79" t="s">
        <v>75</v>
      </c>
      <c r="BI79" t="s">
        <v>75</v>
      </c>
    </row>
    <row r="80" spans="1:61" x14ac:dyDescent="0.25">
      <c r="A80" s="1">
        <v>46087</v>
      </c>
      <c r="B80" t="s">
        <v>517</v>
      </c>
      <c r="C80" s="10" t="s">
        <v>518</v>
      </c>
      <c r="D80" s="10" t="s">
        <v>519</v>
      </c>
      <c r="E80" t="s">
        <v>520</v>
      </c>
      <c r="F80" t="s">
        <v>62</v>
      </c>
      <c r="G80" s="39"/>
      <c r="H80" s="10" t="s">
        <v>551</v>
      </c>
      <c r="I80" t="s">
        <v>521</v>
      </c>
      <c r="J80" s="54">
        <v>4000</v>
      </c>
      <c r="K80" s="4" t="s">
        <v>64</v>
      </c>
      <c r="L80">
        <v>0</v>
      </c>
      <c r="M80">
        <v>12000</v>
      </c>
      <c r="N80" s="5">
        <v>0.81</v>
      </c>
      <c r="O80">
        <v>9720</v>
      </c>
      <c r="P80" t="s">
        <v>65</v>
      </c>
      <c r="Q80" s="6"/>
      <c r="R80" s="63">
        <v>8.5599999999999999E-3</v>
      </c>
      <c r="S80" s="64">
        <v>102.72</v>
      </c>
      <c r="T80" s="65">
        <v>300</v>
      </c>
      <c r="U80" s="66">
        <v>5</v>
      </c>
      <c r="V80" s="54">
        <v>46126</v>
      </c>
      <c r="W80" s="14">
        <v>46141</v>
      </c>
      <c r="X80" s="14" t="s">
        <v>66</v>
      </c>
      <c r="Y80" s="44">
        <v>46147</v>
      </c>
      <c r="Z80" s="44">
        <v>46157</v>
      </c>
      <c r="AA80" s="14" t="s">
        <v>66</v>
      </c>
      <c r="AB80" s="14">
        <v>9</v>
      </c>
      <c r="AC80" s="1">
        <v>46150</v>
      </c>
      <c r="AD80" s="1">
        <v>46157</v>
      </c>
      <c r="AE80">
        <v>43</v>
      </c>
      <c r="AF80" t="s">
        <v>68</v>
      </c>
      <c r="AG80" t="s">
        <v>68</v>
      </c>
      <c r="AH80">
        <v>3.5</v>
      </c>
      <c r="AI80">
        <v>9</v>
      </c>
      <c r="AK80" t="s">
        <v>69</v>
      </c>
      <c r="AL80" t="s">
        <v>70</v>
      </c>
      <c r="AM80" t="s">
        <v>71</v>
      </c>
      <c r="AN80" t="s">
        <v>72</v>
      </c>
      <c r="AO80" t="s">
        <v>62</v>
      </c>
      <c r="AP80" s="10"/>
      <c r="AQ80" s="10">
        <v>46046</v>
      </c>
      <c r="AR80" s="15" t="e">
        <v>#N/A</v>
      </c>
      <c r="AS80">
        <v>5596</v>
      </c>
      <c r="AT80">
        <v>100</v>
      </c>
      <c r="AU80" t="s">
        <v>522</v>
      </c>
      <c r="AV80">
        <v>1.74</v>
      </c>
      <c r="AW80">
        <v>7.92</v>
      </c>
      <c r="AX80">
        <v>4000</v>
      </c>
      <c r="AY80">
        <v>30</v>
      </c>
      <c r="AZ80">
        <v>23</v>
      </c>
      <c r="BA80">
        <v>31</v>
      </c>
      <c r="BB80">
        <v>1</v>
      </c>
      <c r="BC80" t="s">
        <v>523</v>
      </c>
      <c r="BD80" s="16" t="s">
        <v>74</v>
      </c>
      <c r="BE80" t="s">
        <v>75</v>
      </c>
      <c r="BF80" t="e">
        <v>#N/A</v>
      </c>
      <c r="BG80" t="s">
        <v>75</v>
      </c>
      <c r="BH80" t="s">
        <v>75</v>
      </c>
      <c r="BI80" t="s">
        <v>75</v>
      </c>
    </row>
    <row r="81" spans="1:61" x14ac:dyDescent="0.25">
      <c r="A81" s="1">
        <v>46101</v>
      </c>
      <c r="B81" t="s">
        <v>524</v>
      </c>
      <c r="C81" s="10" t="s">
        <v>525</v>
      </c>
      <c r="D81" s="10" t="s">
        <v>526</v>
      </c>
      <c r="E81" t="s">
        <v>527</v>
      </c>
      <c r="F81" t="s">
        <v>62</v>
      </c>
      <c r="G81" s="67" t="s">
        <v>554</v>
      </c>
      <c r="H81" s="10" t="s">
        <v>551</v>
      </c>
      <c r="I81" t="s">
        <v>528</v>
      </c>
      <c r="J81" s="54">
        <v>3800</v>
      </c>
      <c r="K81" s="4" t="s">
        <v>64</v>
      </c>
      <c r="L81">
        <v>0</v>
      </c>
      <c r="M81">
        <v>7000</v>
      </c>
      <c r="N81" s="5">
        <v>0.45800000000000002</v>
      </c>
      <c r="O81">
        <v>3206</v>
      </c>
      <c r="P81" t="s">
        <v>65</v>
      </c>
      <c r="Q81" s="6">
        <v>11195.8</v>
      </c>
      <c r="R81" s="63">
        <v>6.1900000000000002E-3</v>
      </c>
      <c r="S81" s="64">
        <v>43.33</v>
      </c>
      <c r="T81" s="65">
        <v>500</v>
      </c>
      <c r="U81" s="66">
        <v>1.75</v>
      </c>
      <c r="V81" s="54">
        <v>46126</v>
      </c>
      <c r="W81" s="14">
        <v>46141</v>
      </c>
      <c r="X81" s="14" t="s">
        <v>66</v>
      </c>
      <c r="Y81" s="44">
        <v>46147</v>
      </c>
      <c r="Z81" s="44">
        <v>46157</v>
      </c>
      <c r="AA81" s="14" t="s">
        <v>66</v>
      </c>
      <c r="AB81" s="14">
        <v>9</v>
      </c>
      <c r="AC81" s="1">
        <v>46150</v>
      </c>
      <c r="AD81" s="1">
        <v>46150</v>
      </c>
      <c r="AE81">
        <v>0</v>
      </c>
      <c r="AF81" t="s">
        <v>68</v>
      </c>
      <c r="AG81" t="s">
        <v>68</v>
      </c>
      <c r="AH81">
        <v>-10.5</v>
      </c>
      <c r="AI81">
        <v>7</v>
      </c>
      <c r="AK81" t="s">
        <v>68</v>
      </c>
      <c r="AL81" t="s">
        <v>70</v>
      </c>
      <c r="AM81" t="s">
        <v>71</v>
      </c>
      <c r="AN81" t="s">
        <v>72</v>
      </c>
      <c r="AP81" s="10"/>
      <c r="AQ81" s="10">
        <v>46129</v>
      </c>
      <c r="AR81" s="15" t="e">
        <v>#N/A</v>
      </c>
      <c r="AS81">
        <v>5900</v>
      </c>
      <c r="AT81">
        <v>100</v>
      </c>
      <c r="AU81" t="s">
        <v>529</v>
      </c>
      <c r="AV81">
        <v>8.14</v>
      </c>
      <c r="AW81">
        <v>8.68</v>
      </c>
      <c r="AX81">
        <v>800</v>
      </c>
      <c r="AY81">
        <v>38</v>
      </c>
      <c r="AZ81">
        <v>29.5</v>
      </c>
      <c r="BA81">
        <v>19.5</v>
      </c>
      <c r="BB81">
        <v>9</v>
      </c>
      <c r="BC81" t="s">
        <v>527</v>
      </c>
      <c r="BD81" s="16" t="s">
        <v>74</v>
      </c>
      <c r="BE81" t="s">
        <v>75</v>
      </c>
      <c r="BF81" t="e">
        <v>#N/A</v>
      </c>
      <c r="BG81" t="s">
        <v>75</v>
      </c>
      <c r="BH81" t="s">
        <v>75</v>
      </c>
      <c r="BI81" t="s">
        <v>75</v>
      </c>
    </row>
    <row r="82" spans="1:61" x14ac:dyDescent="0.25">
      <c r="A82" s="1">
        <v>46029</v>
      </c>
      <c r="B82" t="s">
        <v>530</v>
      </c>
      <c r="C82" s="10" t="s">
        <v>531</v>
      </c>
      <c r="D82" s="10">
        <v>172380</v>
      </c>
      <c r="E82" t="s">
        <v>532</v>
      </c>
      <c r="F82" t="s">
        <v>62</v>
      </c>
      <c r="G82" s="39"/>
      <c r="H82" s="10" t="s">
        <v>551</v>
      </c>
      <c r="I82" t="s">
        <v>533</v>
      </c>
      <c r="J82" s="54">
        <v>2000</v>
      </c>
      <c r="K82" s="4" t="s">
        <v>64</v>
      </c>
      <c r="L82">
        <v>0</v>
      </c>
      <c r="M82">
        <v>8000</v>
      </c>
      <c r="N82" s="5">
        <v>3.2469999999999999</v>
      </c>
      <c r="O82">
        <v>25976</v>
      </c>
      <c r="P82" t="s">
        <v>14</v>
      </c>
      <c r="Q82" s="6"/>
      <c r="R82" s="63">
        <v>1.528E-2</v>
      </c>
      <c r="S82" s="64">
        <v>122.24</v>
      </c>
      <c r="T82" s="65">
        <v>400</v>
      </c>
      <c r="U82" s="66">
        <v>2.5</v>
      </c>
      <c r="V82" s="54">
        <v>46126</v>
      </c>
      <c r="W82" s="14">
        <v>46141</v>
      </c>
      <c r="X82" s="14" t="s">
        <v>66</v>
      </c>
      <c r="Y82" s="44">
        <v>46147</v>
      </c>
      <c r="Z82" s="44">
        <v>46157</v>
      </c>
      <c r="AA82" s="14" t="s">
        <v>66</v>
      </c>
      <c r="AB82" s="14">
        <v>9</v>
      </c>
      <c r="AC82" s="1">
        <v>46150</v>
      </c>
      <c r="AD82" s="1">
        <v>46150</v>
      </c>
      <c r="AE82">
        <v>0</v>
      </c>
      <c r="AF82" t="s">
        <v>68</v>
      </c>
      <c r="AG82" t="s">
        <v>68</v>
      </c>
      <c r="AH82">
        <v>61.5</v>
      </c>
      <c r="AI82">
        <v>17.285714285714285</v>
      </c>
      <c r="AK82" t="s">
        <v>69</v>
      </c>
      <c r="AL82" t="s">
        <v>70</v>
      </c>
      <c r="AM82" t="s">
        <v>71</v>
      </c>
      <c r="AN82" t="s">
        <v>72</v>
      </c>
      <c r="AO82" t="s">
        <v>62</v>
      </c>
      <c r="AP82" s="10"/>
      <c r="AQ82" s="10">
        <v>46057</v>
      </c>
      <c r="AR82" s="15" t="e">
        <v>#N/A</v>
      </c>
      <c r="AS82">
        <v>4641</v>
      </c>
      <c r="AT82">
        <v>200</v>
      </c>
      <c r="AU82" t="s">
        <v>534</v>
      </c>
      <c r="AV82">
        <v>43.232999999999997</v>
      </c>
      <c r="AW82">
        <v>14.16</v>
      </c>
      <c r="AX82">
        <v>300</v>
      </c>
      <c r="AY82">
        <v>36</v>
      </c>
      <c r="AZ82">
        <v>34</v>
      </c>
      <c r="BA82">
        <v>24.5</v>
      </c>
      <c r="BB82">
        <v>27</v>
      </c>
      <c r="BC82" t="s">
        <v>532</v>
      </c>
      <c r="BD82" s="16" t="s">
        <v>74</v>
      </c>
      <c r="BE82" t="s">
        <v>75</v>
      </c>
      <c r="BF82" t="e">
        <v>#N/A</v>
      </c>
      <c r="BG82" t="s">
        <v>75</v>
      </c>
      <c r="BH82" t="s">
        <v>75</v>
      </c>
      <c r="BI82" t="s">
        <v>75</v>
      </c>
    </row>
    <row r="83" spans="1:61" x14ac:dyDescent="0.25">
      <c r="A83" s="1">
        <v>46094</v>
      </c>
      <c r="B83" t="s">
        <v>374</v>
      </c>
      <c r="C83" s="10" t="s">
        <v>375</v>
      </c>
      <c r="D83" s="10" t="s">
        <v>376</v>
      </c>
      <c r="E83" t="s">
        <v>535</v>
      </c>
      <c r="F83" t="s">
        <v>62</v>
      </c>
      <c r="G83" s="39"/>
      <c r="H83" s="10" t="s">
        <v>551</v>
      </c>
      <c r="I83" t="s">
        <v>536</v>
      </c>
      <c r="J83" s="54">
        <v>2000</v>
      </c>
      <c r="K83" s="4" t="s">
        <v>64</v>
      </c>
      <c r="L83">
        <v>0</v>
      </c>
      <c r="M83">
        <v>5000</v>
      </c>
      <c r="N83" s="5">
        <v>1.3260000000000001</v>
      </c>
      <c r="O83">
        <v>6630</v>
      </c>
      <c r="P83" t="s">
        <v>65</v>
      </c>
      <c r="Q83" s="6"/>
      <c r="R83" s="63">
        <v>1.111E-2</v>
      </c>
      <c r="S83" s="64">
        <v>55.55</v>
      </c>
      <c r="T83" s="65">
        <v>400</v>
      </c>
      <c r="U83" s="66">
        <v>1.5625</v>
      </c>
      <c r="V83" s="54">
        <v>46140</v>
      </c>
      <c r="W83" s="14">
        <v>46155</v>
      </c>
      <c r="X83" s="14" t="s">
        <v>66</v>
      </c>
      <c r="Y83" s="44">
        <v>46147</v>
      </c>
      <c r="Z83" s="44">
        <v>46157</v>
      </c>
      <c r="AA83" s="14" t="s">
        <v>66</v>
      </c>
      <c r="AB83" s="14">
        <v>-5</v>
      </c>
      <c r="AC83" s="1">
        <v>46178</v>
      </c>
      <c r="AD83" s="1">
        <v>46178</v>
      </c>
      <c r="AE83">
        <v>41</v>
      </c>
      <c r="AF83" t="s">
        <v>68</v>
      </c>
      <c r="AG83" t="s">
        <v>68</v>
      </c>
      <c r="AH83">
        <v>-1.5</v>
      </c>
      <c r="AI83">
        <v>8.2857142857142865</v>
      </c>
      <c r="AK83" t="s">
        <v>68</v>
      </c>
      <c r="AL83" t="s">
        <v>70</v>
      </c>
      <c r="AM83" t="s">
        <v>71</v>
      </c>
      <c r="AN83" t="s">
        <v>72</v>
      </c>
      <c r="AO83" t="s">
        <v>62</v>
      </c>
      <c r="AP83" s="10"/>
      <c r="AQ83" s="10">
        <v>46122</v>
      </c>
      <c r="AR83" s="15" t="e">
        <v>#N/A</v>
      </c>
      <c r="AS83">
        <v>5823</v>
      </c>
      <c r="AT83">
        <v>100</v>
      </c>
      <c r="AU83" t="s">
        <v>537</v>
      </c>
      <c r="AV83">
        <v>4.2</v>
      </c>
      <c r="AW83">
        <v>6.33</v>
      </c>
      <c r="AX83">
        <v>1000</v>
      </c>
      <c r="AY83">
        <v>38</v>
      </c>
      <c r="AZ83">
        <v>29.5</v>
      </c>
      <c r="BA83">
        <v>19.5</v>
      </c>
      <c r="BB83">
        <v>5</v>
      </c>
      <c r="BC83" t="s">
        <v>535</v>
      </c>
      <c r="BD83" s="16" t="s">
        <v>380</v>
      </c>
      <c r="BE83" t="s">
        <v>75</v>
      </c>
      <c r="BF83" t="e">
        <v>#N/A</v>
      </c>
      <c r="BG83" t="s">
        <v>75</v>
      </c>
      <c r="BH83" t="s">
        <v>75</v>
      </c>
      <c r="BI83" t="s">
        <v>75</v>
      </c>
    </row>
    <row r="84" spans="1:61" x14ac:dyDescent="0.25">
      <c r="A84" s="1">
        <v>46077</v>
      </c>
      <c r="B84" t="s">
        <v>538</v>
      </c>
      <c r="C84" s="10" t="s">
        <v>539</v>
      </c>
      <c r="D84" s="10" t="s">
        <v>540</v>
      </c>
      <c r="E84" t="s">
        <v>541</v>
      </c>
      <c r="F84" t="s">
        <v>62</v>
      </c>
      <c r="G84" s="39"/>
      <c r="H84" s="10" t="s">
        <v>551</v>
      </c>
      <c r="I84" t="s">
        <v>542</v>
      </c>
      <c r="J84" s="54">
        <v>1200</v>
      </c>
      <c r="K84" s="4" t="s">
        <v>64</v>
      </c>
      <c r="L84">
        <v>0</v>
      </c>
      <c r="M84">
        <v>2000</v>
      </c>
      <c r="N84" s="5">
        <v>2.5790000000000002</v>
      </c>
      <c r="O84">
        <v>5158</v>
      </c>
      <c r="P84" t="s">
        <v>65</v>
      </c>
      <c r="Q84" s="6"/>
      <c r="R84" s="63">
        <v>3.7769999999999998E-2</v>
      </c>
      <c r="S84" s="64">
        <v>75.539999999999992</v>
      </c>
      <c r="T84" s="65">
        <v>390</v>
      </c>
      <c r="U84" s="66">
        <v>0.64102564102564108</v>
      </c>
      <c r="V84" s="54">
        <v>46120</v>
      </c>
      <c r="W84" s="14">
        <v>46135</v>
      </c>
      <c r="X84" s="14" t="s">
        <v>66</v>
      </c>
      <c r="Y84" s="44">
        <v>46147</v>
      </c>
      <c r="Z84" s="44">
        <v>46157</v>
      </c>
      <c r="AA84" s="14" t="s">
        <v>66</v>
      </c>
      <c r="AB84" s="14">
        <v>15</v>
      </c>
      <c r="AC84" s="1">
        <v>46150</v>
      </c>
      <c r="AD84" s="1">
        <v>46150</v>
      </c>
      <c r="AE84">
        <v>0</v>
      </c>
      <c r="AF84" t="s">
        <v>68</v>
      </c>
      <c r="AG84" t="s">
        <v>68</v>
      </c>
      <c r="AH84">
        <v>13.5</v>
      </c>
      <c r="AI84">
        <v>10.428571428571429</v>
      </c>
      <c r="AK84" t="s">
        <v>69</v>
      </c>
      <c r="AL84" t="s">
        <v>70</v>
      </c>
      <c r="AM84" t="s">
        <v>71</v>
      </c>
      <c r="AN84" t="s">
        <v>72</v>
      </c>
      <c r="AO84" t="s">
        <v>62</v>
      </c>
      <c r="AP84" s="10"/>
      <c r="AQ84" s="10">
        <v>46105</v>
      </c>
      <c r="AR84" s="15" t="e">
        <v>#N/A</v>
      </c>
      <c r="AS84">
        <v>5423</v>
      </c>
      <c r="AT84">
        <v>100</v>
      </c>
      <c r="AU84" t="s">
        <v>543</v>
      </c>
      <c r="AV84">
        <v>31.58</v>
      </c>
      <c r="AW84">
        <v>13.94</v>
      </c>
      <c r="AX84">
        <v>400</v>
      </c>
      <c r="AY84">
        <v>38</v>
      </c>
      <c r="AZ84">
        <v>29.5</v>
      </c>
      <c r="BA84">
        <v>19.5</v>
      </c>
      <c r="BB84">
        <v>5</v>
      </c>
      <c r="BC84" t="s">
        <v>541</v>
      </c>
      <c r="BD84" s="16" t="s">
        <v>74</v>
      </c>
      <c r="BE84" t="s">
        <v>75</v>
      </c>
      <c r="BF84" t="e">
        <v>#N/A</v>
      </c>
      <c r="BG84" t="s">
        <v>75</v>
      </c>
      <c r="BH84" t="s">
        <v>75</v>
      </c>
      <c r="BI84" t="s">
        <v>75</v>
      </c>
    </row>
    <row r="85" spans="1:61" x14ac:dyDescent="0.25">
      <c r="A85" s="1">
        <v>46066</v>
      </c>
      <c r="B85" t="s">
        <v>544</v>
      </c>
      <c r="C85" s="10" t="s">
        <v>545</v>
      </c>
      <c r="D85" s="10" t="s">
        <v>546</v>
      </c>
      <c r="E85" t="s">
        <v>547</v>
      </c>
      <c r="F85" t="s">
        <v>62</v>
      </c>
      <c r="G85" s="39"/>
      <c r="H85" s="10" t="s">
        <v>551</v>
      </c>
      <c r="I85" t="s">
        <v>548</v>
      </c>
      <c r="J85" s="54">
        <v>800</v>
      </c>
      <c r="K85" s="4" t="s">
        <v>64</v>
      </c>
      <c r="L85">
        <v>0</v>
      </c>
      <c r="M85">
        <v>2000</v>
      </c>
      <c r="N85" s="5">
        <v>2.859</v>
      </c>
      <c r="O85">
        <v>5718</v>
      </c>
      <c r="P85" t="s">
        <v>65</v>
      </c>
      <c r="Q85" s="6"/>
      <c r="R85" s="63">
        <v>3.406E-2</v>
      </c>
      <c r="S85" s="64">
        <v>68.12</v>
      </c>
      <c r="T85" s="65">
        <v>100</v>
      </c>
      <c r="U85" s="66">
        <v>2.5</v>
      </c>
      <c r="V85" s="54">
        <v>46126</v>
      </c>
      <c r="W85" s="14">
        <v>46141</v>
      </c>
      <c r="X85" s="14" t="s">
        <v>66</v>
      </c>
      <c r="Y85" s="44">
        <v>46147</v>
      </c>
      <c r="Z85" s="44">
        <v>46157</v>
      </c>
      <c r="AA85" s="14" t="s">
        <v>66</v>
      </c>
      <c r="AB85" s="14">
        <v>9</v>
      </c>
      <c r="AC85" s="1">
        <v>46150</v>
      </c>
      <c r="AD85" s="1">
        <v>46150</v>
      </c>
      <c r="AE85">
        <v>0</v>
      </c>
      <c r="AF85" t="s">
        <v>68</v>
      </c>
      <c r="AG85" t="s">
        <v>68</v>
      </c>
      <c r="AH85">
        <v>24.5</v>
      </c>
      <c r="AI85">
        <v>12</v>
      </c>
      <c r="AK85" t="s">
        <v>69</v>
      </c>
      <c r="AL85" t="s">
        <v>70</v>
      </c>
      <c r="AM85" t="s">
        <v>71</v>
      </c>
      <c r="AN85" t="s">
        <v>72</v>
      </c>
      <c r="AO85" t="s">
        <v>62</v>
      </c>
      <c r="AP85" s="10"/>
      <c r="AQ85" s="10">
        <v>46094</v>
      </c>
      <c r="AR85" s="15" t="e">
        <v>#N/A</v>
      </c>
      <c r="AS85">
        <v>5227</v>
      </c>
      <c r="AT85">
        <v>100</v>
      </c>
      <c r="AU85" t="s">
        <v>549</v>
      </c>
      <c r="AV85">
        <v>27.33</v>
      </c>
      <c r="AW85">
        <v>17.27</v>
      </c>
      <c r="AX85">
        <v>600</v>
      </c>
      <c r="AY85">
        <v>36</v>
      </c>
      <c r="AZ85">
        <v>34</v>
      </c>
      <c r="BA85">
        <v>24.5</v>
      </c>
      <c r="BB85">
        <v>4</v>
      </c>
      <c r="BC85" t="s">
        <v>547</v>
      </c>
      <c r="BD85" s="16" t="s">
        <v>323</v>
      </c>
      <c r="BE85" t="s">
        <v>75</v>
      </c>
      <c r="BF85" t="e">
        <v>#N/A</v>
      </c>
      <c r="BG85" t="s">
        <v>75</v>
      </c>
      <c r="BH85" t="s">
        <v>75</v>
      </c>
      <c r="BI85" t="s">
        <v>75</v>
      </c>
    </row>
  </sheetData>
  <autoFilter ref="H2:BI85" xr:uid="{3BC26251-17B9-45CA-9382-5117F5B6B67E}"/>
  <conditionalFormatting sqref="B40">
    <cfRule type="duplicateValues" dxfId="628" priority="250"/>
    <cfRule type="duplicateValues" dxfId="627" priority="251"/>
  </conditionalFormatting>
  <conditionalFormatting sqref="E1">
    <cfRule type="duplicateValues" dxfId="626" priority="273"/>
    <cfRule type="duplicateValues" dxfId="625" priority="274"/>
    <cfRule type="duplicateValues" dxfId="624" priority="275"/>
    <cfRule type="duplicateValues" dxfId="623" priority="276"/>
    <cfRule type="duplicateValues" dxfId="622" priority="277"/>
    <cfRule type="duplicateValues" dxfId="621" priority="278"/>
    <cfRule type="duplicateValues" dxfId="620" priority="279"/>
    <cfRule type="duplicateValues" dxfId="619" priority="280"/>
    <cfRule type="duplicateValues" dxfId="618" priority="281"/>
    <cfRule type="duplicateValues" dxfId="617" priority="282"/>
    <cfRule type="duplicateValues" dxfId="616" priority="283"/>
    <cfRule type="duplicateValues" dxfId="615" priority="284"/>
    <cfRule type="duplicateValues" dxfId="614" priority="285"/>
    <cfRule type="duplicateValues" dxfId="613" priority="286"/>
    <cfRule type="duplicateValues" dxfId="612" priority="287"/>
    <cfRule type="duplicateValues" dxfId="611" priority="288"/>
    <cfRule type="duplicateValues" dxfId="610" priority="289"/>
    <cfRule type="duplicateValues" dxfId="609" priority="290"/>
    <cfRule type="duplicateValues" dxfId="608" priority="291"/>
  </conditionalFormatting>
  <conditionalFormatting sqref="E2">
    <cfRule type="duplicateValues" dxfId="607" priority="322"/>
    <cfRule type="duplicateValues" dxfId="606" priority="323"/>
  </conditionalFormatting>
  <conditionalFormatting sqref="E36">
    <cfRule type="duplicateValues" dxfId="605" priority="263"/>
    <cfRule type="duplicateValues" dxfId="604" priority="264"/>
    <cfRule type="duplicateValues" dxfId="603" priority="265"/>
    <cfRule type="duplicateValues" dxfId="602" priority="266"/>
    <cfRule type="duplicateValues" dxfId="601" priority="267"/>
    <cfRule type="duplicateValues" dxfId="600" priority="268"/>
    <cfRule type="duplicateValues" dxfId="599" priority="269"/>
    <cfRule type="duplicateValues" dxfId="598" priority="270"/>
    <cfRule type="duplicateValues" dxfId="597" priority="271"/>
    <cfRule type="duplicateValues" dxfId="596" priority="272"/>
  </conditionalFormatting>
  <conditionalFormatting sqref="E37:E39">
    <cfRule type="duplicateValues" dxfId="595" priority="253"/>
    <cfRule type="duplicateValues" dxfId="594" priority="254"/>
    <cfRule type="duplicateValues" dxfId="593" priority="255"/>
    <cfRule type="duplicateValues" dxfId="592" priority="256"/>
    <cfRule type="duplicateValues" dxfId="591" priority="257"/>
    <cfRule type="duplicateValues" dxfId="590" priority="258"/>
    <cfRule type="duplicateValues" dxfId="589" priority="259"/>
    <cfRule type="duplicateValues" dxfId="588" priority="260"/>
    <cfRule type="duplicateValues" dxfId="587" priority="261"/>
    <cfRule type="duplicateValues" dxfId="586" priority="262"/>
  </conditionalFormatting>
  <conditionalFormatting sqref="E40">
    <cfRule type="duplicateValues" dxfId="585" priority="252"/>
  </conditionalFormatting>
  <conditionalFormatting sqref="E49:E51">
    <cfRule type="duplicateValues" dxfId="584" priority="219"/>
    <cfRule type="duplicateValues" dxfId="583" priority="220"/>
    <cfRule type="duplicateValues" dxfId="582" priority="221"/>
    <cfRule type="duplicateValues" dxfId="581" priority="222"/>
    <cfRule type="duplicateValues" dxfId="580" priority="223"/>
    <cfRule type="duplicateValues" dxfId="579" priority="224"/>
    <cfRule type="duplicateValues" dxfId="578" priority="225"/>
    <cfRule type="duplicateValues" dxfId="577" priority="226"/>
    <cfRule type="duplicateValues" dxfId="576" priority="227"/>
    <cfRule type="duplicateValues" dxfId="575" priority="228"/>
  </conditionalFormatting>
  <conditionalFormatting sqref="E52:E57">
    <cfRule type="duplicateValues" dxfId="574" priority="208"/>
    <cfRule type="duplicateValues" dxfId="573" priority="209"/>
    <cfRule type="duplicateValues" dxfId="572" priority="210"/>
    <cfRule type="duplicateValues" dxfId="571" priority="211"/>
    <cfRule type="duplicateValues" dxfId="570" priority="212"/>
    <cfRule type="duplicateValues" dxfId="569" priority="213"/>
    <cfRule type="duplicateValues" dxfId="568" priority="214"/>
    <cfRule type="duplicateValues" dxfId="567" priority="215"/>
    <cfRule type="duplicateValues" dxfId="566" priority="216"/>
    <cfRule type="duplicateValues" dxfId="565" priority="217"/>
  </conditionalFormatting>
  <conditionalFormatting sqref="E58">
    <cfRule type="duplicateValues" dxfId="564" priority="181"/>
    <cfRule type="duplicateValues" dxfId="563" priority="182"/>
    <cfRule type="duplicateValues" dxfId="562" priority="183"/>
    <cfRule type="duplicateValues" dxfId="561" priority="184"/>
    <cfRule type="duplicateValues" dxfId="560" priority="185"/>
    <cfRule type="duplicateValues" dxfId="559" priority="186"/>
    <cfRule type="duplicateValues" dxfId="558" priority="187"/>
    <cfRule type="duplicateValues" dxfId="557" priority="188"/>
    <cfRule type="duplicateValues" dxfId="556" priority="189"/>
    <cfRule type="duplicateValues" dxfId="555" priority="190"/>
  </conditionalFormatting>
  <conditionalFormatting sqref="E59:E61">
    <cfRule type="duplicateValues" dxfId="554" priority="168"/>
    <cfRule type="duplicateValues" dxfId="553" priority="169"/>
    <cfRule type="duplicateValues" dxfId="552" priority="170"/>
    <cfRule type="duplicateValues" dxfId="551" priority="171"/>
    <cfRule type="duplicateValues" dxfId="550" priority="172"/>
    <cfRule type="duplicateValues" dxfId="549" priority="173"/>
    <cfRule type="duplicateValues" dxfId="548" priority="174"/>
    <cfRule type="duplicateValues" dxfId="547" priority="175"/>
    <cfRule type="duplicateValues" dxfId="546" priority="176"/>
    <cfRule type="duplicateValues" dxfId="545" priority="177"/>
    <cfRule type="duplicateValues" dxfId="544" priority="178"/>
  </conditionalFormatting>
  <conditionalFormatting sqref="E62:E63">
    <cfRule type="duplicateValues" dxfId="543" priority="156"/>
    <cfRule type="duplicateValues" dxfId="542" priority="157"/>
    <cfRule type="duplicateValues" dxfId="541" priority="158"/>
    <cfRule type="duplicateValues" dxfId="540" priority="159"/>
    <cfRule type="duplicateValues" dxfId="539" priority="160"/>
    <cfRule type="duplicateValues" dxfId="538" priority="161"/>
    <cfRule type="duplicateValues" dxfId="537" priority="162"/>
    <cfRule type="duplicateValues" dxfId="536" priority="163"/>
    <cfRule type="duplicateValues" dxfId="535" priority="164"/>
    <cfRule type="duplicateValues" dxfId="534" priority="165"/>
    <cfRule type="duplicateValues" dxfId="533" priority="166"/>
  </conditionalFormatting>
  <conditionalFormatting sqref="E65:E66">
    <cfRule type="duplicateValues" dxfId="532" priority="132"/>
    <cfRule type="duplicateValues" dxfId="531" priority="133"/>
    <cfRule type="duplicateValues" dxfId="530" priority="134"/>
    <cfRule type="duplicateValues" dxfId="529" priority="135"/>
    <cfRule type="duplicateValues" dxfId="528" priority="136"/>
    <cfRule type="duplicateValues" dxfId="527" priority="137"/>
    <cfRule type="duplicateValues" dxfId="526" priority="138"/>
    <cfRule type="duplicateValues" dxfId="525" priority="139"/>
    <cfRule type="duplicateValues" dxfId="524" priority="140"/>
    <cfRule type="duplicateValues" dxfId="523" priority="141"/>
  </conditionalFormatting>
  <conditionalFormatting sqref="E67">
    <cfRule type="duplicateValues" dxfId="522" priority="108"/>
    <cfRule type="duplicateValues" dxfId="521" priority="109"/>
    <cfRule type="duplicateValues" dxfId="520" priority="110"/>
    <cfRule type="duplicateValues" dxfId="519" priority="111"/>
    <cfRule type="duplicateValues" dxfId="518" priority="112"/>
    <cfRule type="duplicateValues" dxfId="517" priority="113"/>
    <cfRule type="duplicateValues" dxfId="516" priority="114"/>
    <cfRule type="duplicateValues" dxfId="515" priority="115"/>
    <cfRule type="duplicateValues" dxfId="514" priority="116"/>
    <cfRule type="duplicateValues" dxfId="513" priority="117"/>
  </conditionalFormatting>
  <conditionalFormatting sqref="E68">
    <cfRule type="duplicateValues" dxfId="512" priority="86"/>
    <cfRule type="duplicateValues" dxfId="511" priority="87"/>
    <cfRule type="duplicateValues" dxfId="510" priority="88"/>
    <cfRule type="duplicateValues" dxfId="509" priority="89"/>
    <cfRule type="duplicateValues" dxfId="508" priority="90"/>
    <cfRule type="duplicateValues" dxfId="507" priority="91"/>
    <cfRule type="duplicateValues" dxfId="506" priority="92"/>
    <cfRule type="duplicateValues" dxfId="505" priority="93"/>
    <cfRule type="duplicateValues" dxfId="504" priority="94"/>
    <cfRule type="duplicateValues" dxfId="503" priority="95"/>
    <cfRule type="duplicateValues" dxfId="502" priority="96"/>
    <cfRule type="duplicateValues" dxfId="501" priority="97"/>
    <cfRule type="duplicateValues" dxfId="500" priority="98"/>
    <cfRule type="duplicateValues" dxfId="499" priority="99"/>
    <cfRule type="duplicateValues" dxfId="498" priority="100"/>
    <cfRule type="duplicateValues" dxfId="497" priority="101"/>
    <cfRule type="duplicateValues" dxfId="496" priority="102"/>
    <cfRule type="duplicateValues" dxfId="495" priority="103"/>
    <cfRule type="duplicateValues" dxfId="494" priority="104"/>
    <cfRule type="duplicateValues" dxfId="493" priority="105"/>
  </conditionalFormatting>
  <conditionalFormatting sqref="E69">
    <cfRule type="duplicateValues" dxfId="492" priority="64"/>
    <cfRule type="duplicateValues" dxfId="491" priority="67"/>
    <cfRule type="duplicateValues" dxfId="490" priority="68"/>
    <cfRule type="duplicateValues" dxfId="489" priority="69"/>
    <cfRule type="duplicateValues" dxfId="488" priority="70"/>
    <cfRule type="duplicateValues" dxfId="487" priority="71"/>
    <cfRule type="duplicateValues" dxfId="486" priority="72"/>
    <cfRule type="duplicateValues" dxfId="485" priority="73"/>
    <cfRule type="duplicateValues" dxfId="484" priority="74"/>
    <cfRule type="duplicateValues" dxfId="483" priority="75"/>
    <cfRule type="duplicateValues" dxfId="482" priority="76"/>
    <cfRule type="duplicateValues" dxfId="481" priority="77"/>
    <cfRule type="duplicateValues" dxfId="480" priority="78"/>
    <cfRule type="duplicateValues" dxfId="479" priority="79"/>
    <cfRule type="duplicateValues" dxfId="478" priority="80"/>
    <cfRule type="duplicateValues" dxfId="477" priority="81"/>
    <cfRule type="duplicateValues" dxfId="476" priority="82"/>
    <cfRule type="duplicateValues" dxfId="475" priority="83"/>
    <cfRule type="duplicateValues" dxfId="474" priority="84"/>
    <cfRule type="duplicateValues" dxfId="473" priority="85"/>
  </conditionalFormatting>
  <conditionalFormatting sqref="E70">
    <cfRule type="duplicateValues" dxfId="472" priority="46"/>
    <cfRule type="duplicateValues" dxfId="471" priority="47"/>
    <cfRule type="duplicateValues" dxfId="470" priority="48"/>
    <cfRule type="duplicateValues" dxfId="469" priority="49"/>
    <cfRule type="duplicateValues" dxfId="468" priority="50"/>
    <cfRule type="duplicateValues" dxfId="467" priority="51"/>
    <cfRule type="duplicateValues" dxfId="466" priority="52"/>
    <cfRule type="duplicateValues" dxfId="465" priority="53"/>
    <cfRule type="duplicateValues" dxfId="464" priority="54"/>
    <cfRule type="duplicateValues" dxfId="463" priority="55"/>
    <cfRule type="duplicateValues" dxfId="462" priority="56"/>
    <cfRule type="duplicateValues" dxfId="461" priority="57"/>
    <cfRule type="duplicateValues" dxfId="460" priority="58"/>
    <cfRule type="duplicateValues" dxfId="459" priority="59"/>
    <cfRule type="duplicateValues" dxfId="458" priority="60"/>
    <cfRule type="duplicateValues" dxfId="457" priority="61"/>
    <cfRule type="duplicateValues" dxfId="456" priority="62"/>
    <cfRule type="duplicateValues" dxfId="455" priority="63"/>
  </conditionalFormatting>
  <conditionalFormatting sqref="E74">
    <cfRule type="duplicateValues" dxfId="454" priority="24"/>
    <cfRule type="duplicateValues" dxfId="453" priority="25"/>
    <cfRule type="duplicateValues" dxfId="452" priority="26"/>
    <cfRule type="duplicateValues" dxfId="451" priority="27"/>
    <cfRule type="duplicateValues" dxfId="450" priority="28"/>
    <cfRule type="duplicateValues" dxfId="449" priority="29"/>
    <cfRule type="duplicateValues" dxfId="448" priority="30"/>
    <cfRule type="duplicateValues" dxfId="447" priority="31"/>
    <cfRule type="duplicateValues" dxfId="446" priority="32"/>
    <cfRule type="duplicateValues" dxfId="445" priority="33"/>
    <cfRule type="duplicateValues" dxfId="444" priority="34"/>
    <cfRule type="duplicateValues" dxfId="443" priority="35"/>
    <cfRule type="duplicateValues" dxfId="442" priority="36"/>
    <cfRule type="duplicateValues" dxfId="441" priority="37"/>
    <cfRule type="duplicateValues" dxfId="440" priority="38"/>
    <cfRule type="duplicateValues" dxfId="439" priority="39"/>
    <cfRule type="duplicateValues" dxfId="438" priority="40"/>
    <cfRule type="duplicateValues" dxfId="437" priority="41"/>
    <cfRule type="duplicateValues" dxfId="436" priority="42"/>
  </conditionalFormatting>
  <conditionalFormatting sqref="E78">
    <cfRule type="duplicateValues" dxfId="435" priority="1"/>
    <cfRule type="duplicateValues" dxfId="434" priority="2"/>
    <cfRule type="duplicateValues" dxfId="433" priority="3"/>
    <cfRule type="duplicateValues" dxfId="432" priority="5"/>
    <cfRule type="duplicateValues" dxfId="431" priority="6"/>
    <cfRule type="duplicateValues" dxfId="430" priority="7"/>
    <cfRule type="duplicateValues" dxfId="429" priority="8"/>
    <cfRule type="duplicateValues" dxfId="428" priority="9"/>
    <cfRule type="duplicateValues" dxfId="427" priority="10"/>
    <cfRule type="duplicateValues" dxfId="426" priority="11"/>
    <cfRule type="duplicateValues" dxfId="425" priority="12"/>
    <cfRule type="duplicateValues" dxfId="424" priority="13"/>
    <cfRule type="duplicateValues" dxfId="423" priority="15"/>
    <cfRule type="duplicateValues" dxfId="422" priority="16"/>
    <cfRule type="duplicateValues" dxfId="421" priority="17"/>
    <cfRule type="duplicateValues" dxfId="420" priority="18"/>
    <cfRule type="duplicateValues" dxfId="419" priority="19"/>
    <cfRule type="duplicateValues" dxfId="418" priority="20"/>
    <cfRule type="duplicateValues" dxfId="417" priority="21"/>
    <cfRule type="duplicateValues" dxfId="416" priority="22"/>
    <cfRule type="duplicateValues" dxfId="415" priority="23"/>
  </conditionalFormatting>
  <conditionalFormatting sqref="E79:E85 E75:E76 E2:E73">
    <cfRule type="duplicateValues" dxfId="414" priority="292"/>
  </conditionalFormatting>
  <conditionalFormatting sqref="E79:E85 E75:E76 E71:E73 E2:E57">
    <cfRule type="duplicateValues" dxfId="413" priority="311"/>
  </conditionalFormatting>
  <conditionalFormatting sqref="E79:E85 E75:E76 E71:E73 E2:E63">
    <cfRule type="duplicateValues" dxfId="412" priority="303"/>
  </conditionalFormatting>
  <conditionalFormatting sqref="E79:E85 E75:E76 E71:E73 E2:E64">
    <cfRule type="duplicateValues" dxfId="411" priority="302"/>
  </conditionalFormatting>
  <conditionalFormatting sqref="E79:E85 E75:E76 E71:E73 E2:E66">
    <cfRule type="duplicateValues" dxfId="410" priority="299"/>
    <cfRule type="duplicateValues" dxfId="409" priority="300"/>
    <cfRule type="duplicateValues" dxfId="408" priority="301"/>
  </conditionalFormatting>
  <conditionalFormatting sqref="E79:E85 E75:E76 E71:E73 E2:E67">
    <cfRule type="duplicateValues" dxfId="407" priority="294"/>
    <cfRule type="duplicateValues" dxfId="406" priority="296"/>
    <cfRule type="duplicateValues" dxfId="405" priority="297"/>
    <cfRule type="duplicateValues" dxfId="404" priority="298"/>
  </conditionalFormatting>
  <conditionalFormatting sqref="E79:E85 E75:E76 E71:E73 E2:E68">
    <cfRule type="duplicateValues" dxfId="403" priority="293"/>
  </conditionalFormatting>
  <conditionalFormatting sqref="E79:E85 E75:E76 E71:E73 E42:E48 E2:E35">
    <cfRule type="duplicateValues" dxfId="402" priority="313"/>
    <cfRule type="duplicateValues" dxfId="401" priority="314"/>
    <cfRule type="duplicateValues" dxfId="400" priority="315"/>
    <cfRule type="duplicateValues" dxfId="399" priority="316"/>
    <cfRule type="duplicateValues" dxfId="398" priority="317"/>
    <cfRule type="duplicateValues" dxfId="397" priority="318"/>
    <cfRule type="duplicateValues" dxfId="396" priority="319"/>
    <cfRule type="duplicateValues" dxfId="395" priority="320"/>
    <cfRule type="duplicateValues" dxfId="394" priority="321"/>
  </conditionalFormatting>
  <conditionalFormatting sqref="E79:E85 E75:E76 E71:E73">
    <cfRule type="duplicateValues" dxfId="393" priority="43"/>
  </conditionalFormatting>
  <conditionalFormatting sqref="E41:F41">
    <cfRule type="duplicateValues" dxfId="392" priority="240"/>
    <cfRule type="duplicateValues" dxfId="391" priority="241"/>
    <cfRule type="duplicateValues" dxfId="390" priority="242"/>
    <cfRule type="duplicateValues" dxfId="389" priority="243"/>
    <cfRule type="duplicateValues" dxfId="388" priority="244"/>
    <cfRule type="duplicateValues" dxfId="387" priority="245"/>
    <cfRule type="duplicateValues" dxfId="386" priority="246"/>
    <cfRule type="duplicateValues" dxfId="385" priority="247"/>
    <cfRule type="duplicateValues" dxfId="384" priority="248"/>
    <cfRule type="duplicateValues" dxfId="383" priority="249"/>
  </conditionalFormatting>
  <conditionalFormatting sqref="E64:F64">
    <cfRule type="duplicateValues" dxfId="382" priority="143"/>
    <cfRule type="duplicateValues" dxfId="381" priority="144"/>
    <cfRule type="duplicateValues" dxfId="380" priority="146"/>
    <cfRule type="duplicateValues" dxfId="379" priority="147"/>
    <cfRule type="duplicateValues" dxfId="378" priority="148"/>
    <cfRule type="duplicateValues" dxfId="377" priority="149"/>
    <cfRule type="duplicateValues" dxfId="376" priority="150"/>
    <cfRule type="duplicateValues" dxfId="375" priority="151"/>
    <cfRule type="duplicateValues" dxfId="374" priority="152"/>
    <cfRule type="duplicateValues" dxfId="373" priority="153"/>
    <cfRule type="duplicateValues" dxfId="372" priority="154"/>
    <cfRule type="duplicateValues" dxfId="371" priority="155"/>
  </conditionalFormatting>
  <conditionalFormatting sqref="I49:I51">
    <cfRule type="duplicateValues" dxfId="370" priority="229"/>
  </conditionalFormatting>
  <conditionalFormatting sqref="I52:I57">
    <cfRule type="duplicateValues" dxfId="369" priority="218"/>
  </conditionalFormatting>
  <conditionalFormatting sqref="I58">
    <cfRule type="duplicateValues" dxfId="368" priority="180"/>
  </conditionalFormatting>
  <conditionalFormatting sqref="I59:I61">
    <cfRule type="duplicateValues" dxfId="367" priority="179"/>
  </conditionalFormatting>
  <conditionalFormatting sqref="I62:I63">
    <cfRule type="duplicateValues" dxfId="366" priority="167"/>
  </conditionalFormatting>
  <conditionalFormatting sqref="I64">
    <cfRule type="duplicateValues" dxfId="365" priority="145"/>
  </conditionalFormatting>
  <conditionalFormatting sqref="I65:I66">
    <cfRule type="duplicateValues" dxfId="364" priority="142"/>
  </conditionalFormatting>
  <conditionalFormatting sqref="I67">
    <cfRule type="duplicateValues" dxfId="363" priority="107"/>
  </conditionalFormatting>
  <conditionalFormatting sqref="I68">
    <cfRule type="duplicateValues" dxfId="362" priority="106"/>
  </conditionalFormatting>
  <conditionalFormatting sqref="I69">
    <cfRule type="duplicateValues" dxfId="361" priority="65"/>
    <cfRule type="duplicateValues" dxfId="360" priority="66"/>
  </conditionalFormatting>
  <conditionalFormatting sqref="I70">
    <cfRule type="duplicateValues" dxfId="359" priority="45"/>
  </conditionalFormatting>
  <conditionalFormatting sqref="I74 I71">
    <cfRule type="duplicateValues" dxfId="358" priority="44"/>
  </conditionalFormatting>
  <conditionalFormatting sqref="I78">
    <cfRule type="duplicateValues" dxfId="357" priority="4"/>
    <cfRule type="duplicateValues" dxfId="356" priority="14"/>
  </conditionalFormatting>
  <conditionalFormatting sqref="I79:I85 I70:I76 I2:I67">
    <cfRule type="duplicateValues" dxfId="355" priority="295"/>
  </conditionalFormatting>
  <conditionalFormatting sqref="I79:I85 I75:I76 I72:I73 I41:I48 I2:I39">
    <cfRule type="duplicateValues" dxfId="354" priority="312"/>
  </conditionalFormatting>
  <conditionalFormatting sqref="Q57">
    <cfRule type="duplicateValues" dxfId="353" priority="191"/>
    <cfRule type="duplicateValues" dxfId="352" priority="192"/>
    <cfRule type="duplicateValues" dxfId="351" priority="193"/>
    <cfRule type="duplicateValues" dxfId="350" priority="194"/>
    <cfRule type="duplicateValues" dxfId="349" priority="195"/>
    <cfRule type="duplicateValues" dxfId="348" priority="196"/>
    <cfRule type="duplicateValues" dxfId="347" priority="197"/>
    <cfRule type="duplicateValues" dxfId="346" priority="198"/>
    <cfRule type="duplicateValues" dxfId="345" priority="199"/>
    <cfRule type="duplicateValues" dxfId="344" priority="200"/>
    <cfRule type="duplicateValues" dxfId="343" priority="201"/>
    <cfRule type="duplicateValues" dxfId="342" priority="202"/>
    <cfRule type="duplicateValues" dxfId="341" priority="203"/>
    <cfRule type="duplicateValues" dxfId="340" priority="204"/>
    <cfRule type="duplicateValues" dxfId="339" priority="205"/>
    <cfRule type="duplicateValues" dxfId="338" priority="206"/>
    <cfRule type="duplicateValues" dxfId="337" priority="207"/>
  </conditionalFormatting>
  <conditionalFormatting sqref="Q65">
    <cfRule type="duplicateValues" dxfId="336" priority="118"/>
    <cfRule type="duplicateValues" dxfId="335" priority="119"/>
    <cfRule type="duplicateValues" dxfId="334" priority="120"/>
    <cfRule type="duplicateValues" dxfId="333" priority="121"/>
    <cfRule type="duplicateValues" dxfId="332" priority="122"/>
    <cfRule type="duplicateValues" dxfId="331" priority="123"/>
    <cfRule type="duplicateValues" dxfId="330" priority="124"/>
    <cfRule type="duplicateValues" dxfId="329" priority="125"/>
    <cfRule type="duplicateValues" dxfId="328" priority="126"/>
    <cfRule type="duplicateValues" dxfId="327" priority="127"/>
    <cfRule type="duplicateValues" dxfId="326" priority="128"/>
    <cfRule type="duplicateValues" dxfId="325" priority="129"/>
    <cfRule type="duplicateValues" dxfId="324" priority="130"/>
    <cfRule type="duplicateValues" dxfId="323" priority="131"/>
  </conditionalFormatting>
  <conditionalFormatting sqref="AO1">
    <cfRule type="duplicateValues" dxfId="322" priority="304"/>
    <cfRule type="duplicateValues" dxfId="321" priority="305"/>
    <cfRule type="duplicateValues" dxfId="320" priority="306"/>
    <cfRule type="duplicateValues" dxfId="319" priority="307"/>
    <cfRule type="duplicateValues" dxfId="318" priority="308"/>
    <cfRule type="duplicateValues" dxfId="317" priority="309"/>
    <cfRule type="duplicateValues" dxfId="316" priority="310"/>
  </conditionalFormatting>
  <conditionalFormatting sqref="AO41">
    <cfRule type="duplicateValues" dxfId="315" priority="230"/>
    <cfRule type="duplicateValues" dxfId="314" priority="231"/>
    <cfRule type="duplicateValues" dxfId="313" priority="232"/>
    <cfRule type="duplicateValues" dxfId="312" priority="233"/>
    <cfRule type="duplicateValues" dxfId="311" priority="234"/>
    <cfRule type="duplicateValues" dxfId="310" priority="235"/>
    <cfRule type="duplicateValues" dxfId="309" priority="236"/>
    <cfRule type="duplicateValues" dxfId="308" priority="237"/>
    <cfRule type="duplicateValues" dxfId="307" priority="238"/>
    <cfRule type="duplicateValues" dxfId="306" priority="239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AB6BC-792F-4447-84F9-CDDE5D1F1C77}">
  <dimension ref="A1:BU96"/>
  <sheetViews>
    <sheetView tabSelected="1" zoomScale="55" zoomScaleNormal="55" workbookViewId="0">
      <selection activeCell="BJ1" sqref="BJ1:CT1048576"/>
    </sheetView>
  </sheetViews>
  <sheetFormatPr defaultColWidth="8.7109375" defaultRowHeight="14.25" x14ac:dyDescent="0.2"/>
  <cols>
    <col min="1" max="1" width="15.42578125" style="68" bestFit="1" customWidth="1"/>
    <col min="2" max="2" width="16.28515625" style="68" bestFit="1" customWidth="1"/>
    <col min="3" max="3" width="29.140625" style="68" bestFit="1" customWidth="1"/>
    <col min="4" max="4" width="16.85546875" style="68" customWidth="1"/>
    <col min="5" max="5" width="13.140625" style="68" customWidth="1"/>
    <col min="6" max="6" width="16.5703125" style="68" customWidth="1"/>
    <col min="7" max="7" width="16.5703125" style="68" bestFit="1" customWidth="1"/>
    <col min="8" max="8" width="23.28515625" style="68" customWidth="1"/>
    <col min="9" max="9" width="13.42578125" style="68" bestFit="1" customWidth="1"/>
    <col min="10" max="10" width="16.5703125" style="68" bestFit="1" customWidth="1"/>
    <col min="11" max="11" width="14.5703125" style="68" customWidth="1"/>
    <col min="12" max="12" width="14.140625" style="68" customWidth="1"/>
    <col min="13" max="13" width="16.85546875" style="68" customWidth="1"/>
    <col min="14" max="14" width="16.140625" style="68" customWidth="1"/>
    <col min="15" max="15" width="18.140625" style="68" customWidth="1"/>
    <col min="16" max="16" width="15.5703125" style="68" customWidth="1"/>
    <col min="17" max="17" width="17.140625" style="68" customWidth="1"/>
    <col min="18" max="18" width="15.42578125" style="68" customWidth="1"/>
    <col min="19" max="19" width="16.42578125" style="68" bestFit="1" customWidth="1"/>
    <col min="20" max="20" width="14.140625" style="68" bestFit="1" customWidth="1"/>
    <col min="21" max="21" width="16.28515625" style="68" bestFit="1" customWidth="1"/>
    <col min="22" max="22" width="16.85546875" style="68" bestFit="1" customWidth="1"/>
    <col min="23" max="23" width="17.85546875" style="68" bestFit="1" customWidth="1"/>
    <col min="24" max="24" width="18.85546875" style="68" customWidth="1"/>
    <col min="25" max="25" width="16.42578125" style="68" customWidth="1"/>
    <col min="26" max="27" width="17.85546875" style="68" customWidth="1"/>
    <col min="28" max="28" width="15.5703125" style="68" customWidth="1"/>
    <col min="29" max="30" width="17.140625" style="68" customWidth="1"/>
    <col min="31" max="31" width="19.42578125" style="68" customWidth="1"/>
    <col min="32" max="32" width="16.5703125" style="68" customWidth="1"/>
    <col min="33" max="33" width="16.85546875" style="68" customWidth="1"/>
    <col min="34" max="34" width="16.28515625" style="68" customWidth="1"/>
    <col min="35" max="35" width="14.85546875" style="68" customWidth="1"/>
    <col min="36" max="36" width="16.140625" style="68" customWidth="1"/>
    <col min="37" max="37" width="15.140625" style="68" customWidth="1"/>
    <col min="38" max="38" width="13.42578125" style="68" customWidth="1"/>
    <col min="39" max="39" width="16.5703125" style="68" customWidth="1"/>
    <col min="40" max="40" width="15.140625" style="68" customWidth="1"/>
    <col min="41" max="41" width="12.42578125" style="68" customWidth="1"/>
    <col min="42" max="42" width="32" style="68" customWidth="1"/>
    <col min="43" max="43" width="10.5703125" style="68" customWidth="1"/>
    <col min="44" max="44" width="11.140625" style="68" customWidth="1"/>
    <col min="45" max="45" width="14.42578125" style="68" customWidth="1"/>
    <col min="46" max="46" width="16.28515625" style="68" customWidth="1"/>
    <col min="47" max="47" width="12.42578125" style="68" customWidth="1"/>
    <col min="48" max="48" width="15.28515625" style="68" customWidth="1"/>
    <col min="49" max="49" width="16.5703125" style="68" customWidth="1"/>
    <col min="50" max="51" width="15.5703125" style="68" customWidth="1"/>
    <col min="52" max="52" width="14.42578125" style="68" customWidth="1"/>
    <col min="53" max="53" width="15.28515625" style="68" customWidth="1"/>
    <col min="54" max="54" width="15.42578125" style="68" customWidth="1"/>
    <col min="55" max="55" width="16.5703125" style="68" customWidth="1"/>
    <col min="56" max="56" width="17.28515625" style="68" customWidth="1"/>
    <col min="57" max="57" width="15.85546875" style="68" bestFit="1" customWidth="1"/>
    <col min="58" max="58" width="16.140625" style="68" bestFit="1" customWidth="1"/>
    <col min="59" max="59" width="16.28515625" style="68" bestFit="1" customWidth="1"/>
    <col min="60" max="60" width="30.5703125" style="68" bestFit="1" customWidth="1"/>
    <col min="61" max="61" width="18.42578125" style="68" bestFit="1" customWidth="1"/>
    <col min="62" max="16384" width="8.7109375" style="68"/>
  </cols>
  <sheetData>
    <row r="1" spans="1:61" s="89" customFormat="1" ht="48.95" customHeight="1" x14ac:dyDescent="0.25">
      <c r="Q1" s="90"/>
      <c r="S1" s="91">
        <f>SUM(S3:S130)/0.8</f>
        <v>3954.6758999999988</v>
      </c>
      <c r="T1" s="92">
        <f>82*8*6*0.8</f>
        <v>3148.8</v>
      </c>
      <c r="U1" s="92">
        <f>S1-T1</f>
        <v>805.87589999999864</v>
      </c>
      <c r="W1" s="92">
        <f>S1/6</f>
        <v>659.1126499999998</v>
      </c>
      <c r="Z1" s="90"/>
    </row>
    <row r="2" spans="1:61" s="94" customFormat="1" ht="62.1" customHeight="1" x14ac:dyDescent="0.25">
      <c r="A2" s="69" t="s">
        <v>1</v>
      </c>
      <c r="B2" s="70" t="s">
        <v>2</v>
      </c>
      <c r="C2" s="70" t="s">
        <v>3</v>
      </c>
      <c r="D2" s="70" t="s">
        <v>4</v>
      </c>
      <c r="E2" s="70" t="s">
        <v>5</v>
      </c>
      <c r="F2" s="70" t="s">
        <v>6</v>
      </c>
      <c r="G2" s="70" t="s">
        <v>575</v>
      </c>
      <c r="H2" s="70" t="s">
        <v>570</v>
      </c>
      <c r="I2" s="70" t="s">
        <v>7</v>
      </c>
      <c r="J2" s="70" t="s">
        <v>8</v>
      </c>
      <c r="K2" s="69" t="s">
        <v>9</v>
      </c>
      <c r="L2" s="71" t="s">
        <v>10</v>
      </c>
      <c r="M2" s="71" t="s">
        <v>11</v>
      </c>
      <c r="N2" s="72" t="s">
        <v>12</v>
      </c>
      <c r="O2" s="70" t="s">
        <v>13</v>
      </c>
      <c r="P2" s="73" t="s">
        <v>14</v>
      </c>
      <c r="Q2" s="74" t="s">
        <v>15</v>
      </c>
      <c r="R2" s="75" t="s">
        <v>16</v>
      </c>
      <c r="S2" s="76" t="s">
        <v>17</v>
      </c>
      <c r="T2" s="74" t="s">
        <v>18</v>
      </c>
      <c r="U2" s="77" t="s">
        <v>19</v>
      </c>
      <c r="V2" s="73" t="s">
        <v>20</v>
      </c>
      <c r="W2" s="73" t="s">
        <v>21</v>
      </c>
      <c r="X2" s="78" t="s">
        <v>22</v>
      </c>
      <c r="Y2" s="79" t="s">
        <v>23</v>
      </c>
      <c r="Z2" s="79" t="s">
        <v>24</v>
      </c>
      <c r="AA2" s="73" t="s">
        <v>25</v>
      </c>
      <c r="AB2" s="73" t="s">
        <v>26</v>
      </c>
      <c r="AC2" s="80" t="s">
        <v>27</v>
      </c>
      <c r="AD2" s="80" t="s">
        <v>28</v>
      </c>
      <c r="AE2" s="81" t="s">
        <v>29</v>
      </c>
      <c r="AF2" s="81" t="s">
        <v>30</v>
      </c>
      <c r="AG2" s="81" t="s">
        <v>31</v>
      </c>
      <c r="AH2" s="82" t="s">
        <v>32</v>
      </c>
      <c r="AI2" s="82" t="s">
        <v>33</v>
      </c>
      <c r="AJ2" s="82" t="s">
        <v>34</v>
      </c>
      <c r="AK2" s="82" t="s">
        <v>35</v>
      </c>
      <c r="AL2" s="70" t="s">
        <v>36</v>
      </c>
      <c r="AM2" s="83" t="s">
        <v>37</v>
      </c>
      <c r="AN2" s="83" t="s">
        <v>35</v>
      </c>
      <c r="AO2" s="73" t="s">
        <v>38</v>
      </c>
      <c r="AP2" s="78" t="s">
        <v>39</v>
      </c>
      <c r="AQ2" s="73" t="s">
        <v>40</v>
      </c>
      <c r="AR2" s="93" t="s">
        <v>41</v>
      </c>
      <c r="AS2" s="70" t="s">
        <v>42</v>
      </c>
      <c r="AT2" s="70" t="s">
        <v>43</v>
      </c>
      <c r="AU2" s="70" t="s">
        <v>44</v>
      </c>
      <c r="AV2" s="70" t="s">
        <v>45</v>
      </c>
      <c r="AW2" s="70" t="s">
        <v>46</v>
      </c>
      <c r="AX2" s="70" t="s">
        <v>47</v>
      </c>
      <c r="AY2" s="70" t="s">
        <v>48</v>
      </c>
      <c r="AZ2" s="70" t="s">
        <v>49</v>
      </c>
      <c r="BA2" s="70" t="s">
        <v>50</v>
      </c>
      <c r="BB2" s="70" t="s">
        <v>51</v>
      </c>
      <c r="BC2" s="70" t="s">
        <v>52</v>
      </c>
      <c r="BD2" s="70" t="s">
        <v>53</v>
      </c>
      <c r="BE2" s="73" t="s">
        <v>54</v>
      </c>
      <c r="BF2" s="73" t="s">
        <v>55</v>
      </c>
      <c r="BG2" s="73" t="s">
        <v>56</v>
      </c>
      <c r="BH2" s="73" t="s">
        <v>57</v>
      </c>
      <c r="BI2" s="73" t="s">
        <v>58</v>
      </c>
    </row>
    <row r="3" spans="1:61" ht="15" x14ac:dyDescent="0.25">
      <c r="A3" s="1">
        <v>46076</v>
      </c>
      <c r="B3" t="s">
        <v>395</v>
      </c>
      <c r="C3" t="s">
        <v>396</v>
      </c>
      <c r="D3" s="10">
        <v>132360</v>
      </c>
      <c r="E3" t="s">
        <v>595</v>
      </c>
      <c r="F3" t="s">
        <v>62</v>
      </c>
      <c r="G3" s="39" t="s">
        <v>964</v>
      </c>
      <c r="H3" s="10" t="s">
        <v>551</v>
      </c>
      <c r="I3" t="s">
        <v>596</v>
      </c>
      <c r="J3">
        <v>7000</v>
      </c>
      <c r="K3" s="4" t="s">
        <v>64</v>
      </c>
      <c r="L3" s="40">
        <v>0</v>
      </c>
      <c r="M3" s="40">
        <v>7000</v>
      </c>
      <c r="N3" s="5">
        <v>0.75900000000000001</v>
      </c>
      <c r="O3">
        <v>5313</v>
      </c>
      <c r="P3" t="s">
        <v>14</v>
      </c>
      <c r="Q3" s="6">
        <v>810</v>
      </c>
      <c r="R3" s="41">
        <v>1.7780000000000001E-2</v>
      </c>
      <c r="S3" s="42">
        <v>124.46000000000001</v>
      </c>
      <c r="T3" s="42">
        <v>320</v>
      </c>
      <c r="U3" s="43">
        <v>2.734375</v>
      </c>
      <c r="V3" s="44">
        <v>46112</v>
      </c>
      <c r="W3" s="45">
        <v>46127</v>
      </c>
      <c r="X3" s="46" t="s">
        <v>66</v>
      </c>
      <c r="Y3" s="44">
        <v>46161</v>
      </c>
      <c r="Z3" s="53">
        <v>46164</v>
      </c>
      <c r="AA3" s="46" t="s">
        <v>66</v>
      </c>
      <c r="AB3" s="47">
        <v>37</v>
      </c>
      <c r="AC3" s="1">
        <v>46164</v>
      </c>
      <c r="AD3" s="1">
        <v>46164</v>
      </c>
      <c r="AE3" s="3">
        <v>0</v>
      </c>
      <c r="AF3" s="3" t="s">
        <v>68</v>
      </c>
      <c r="AG3" s="3" t="s">
        <v>68</v>
      </c>
      <c r="AH3" s="3">
        <v>28.5</v>
      </c>
      <c r="AI3" s="3">
        <v>12.571428571428571</v>
      </c>
      <c r="AJ3"/>
      <c r="AK3" s="3" t="s">
        <v>69</v>
      </c>
      <c r="AL3" t="s">
        <v>70</v>
      </c>
      <c r="AM3" t="s">
        <v>71</v>
      </c>
      <c r="AN3" t="s">
        <v>72</v>
      </c>
      <c r="AO3" t="s">
        <v>62</v>
      </c>
      <c r="AP3" s="10"/>
      <c r="AQ3" s="1">
        <v>46104</v>
      </c>
      <c r="AR3" s="48" t="e">
        <v>#N/A</v>
      </c>
      <c r="AS3">
        <v>5229</v>
      </c>
      <c r="AT3">
        <v>300</v>
      </c>
      <c r="AU3" t="s">
        <v>597</v>
      </c>
      <c r="AV3">
        <v>2.2599999999999998</v>
      </c>
      <c r="AW3">
        <v>4.8499999999999996</v>
      </c>
      <c r="AX3">
        <v>1000</v>
      </c>
      <c r="AY3">
        <v>36</v>
      </c>
      <c r="AZ3">
        <v>34</v>
      </c>
      <c r="BA3">
        <v>24.5</v>
      </c>
      <c r="BB3">
        <v>7</v>
      </c>
      <c r="BC3" s="3" t="s">
        <v>595</v>
      </c>
      <c r="BD3" s="16" t="s">
        <v>74</v>
      </c>
      <c r="BE3" t="s">
        <v>100</v>
      </c>
      <c r="BF3" s="49" t="e">
        <v>#N/A</v>
      </c>
      <c r="BG3" s="50" t="s">
        <v>75</v>
      </c>
      <c r="BH3" s="50" t="s">
        <v>75</v>
      </c>
      <c r="BI3" s="50" t="s">
        <v>75</v>
      </c>
    </row>
    <row r="4" spans="1:61" ht="15" x14ac:dyDescent="0.25">
      <c r="A4" s="1">
        <v>46091</v>
      </c>
      <c r="B4" t="s">
        <v>842</v>
      </c>
      <c r="C4" t="s">
        <v>843</v>
      </c>
      <c r="D4" s="10" t="s">
        <v>844</v>
      </c>
      <c r="E4" t="s">
        <v>845</v>
      </c>
      <c r="F4" t="s">
        <v>62</v>
      </c>
      <c r="G4" s="39" t="s">
        <v>964</v>
      </c>
      <c r="H4" s="10" t="s">
        <v>965</v>
      </c>
      <c r="I4" t="s">
        <v>846</v>
      </c>
      <c r="J4">
        <v>1000</v>
      </c>
      <c r="K4" s="4"/>
      <c r="L4" s="40">
        <v>0</v>
      </c>
      <c r="M4" s="40">
        <v>1000</v>
      </c>
      <c r="N4" s="5">
        <v>6.16</v>
      </c>
      <c r="O4">
        <v>6160</v>
      </c>
      <c r="P4" t="s">
        <v>65</v>
      </c>
      <c r="Q4" s="6">
        <v>48160.32</v>
      </c>
      <c r="R4" s="41">
        <v>3.9750000000000001E-2</v>
      </c>
      <c r="S4" s="42">
        <v>39.75</v>
      </c>
      <c r="T4" s="42">
        <v>250</v>
      </c>
      <c r="U4" s="43">
        <v>0.5</v>
      </c>
      <c r="V4" s="44">
        <v>46150</v>
      </c>
      <c r="W4" s="45">
        <v>46165</v>
      </c>
      <c r="X4" s="46" t="s">
        <v>66</v>
      </c>
      <c r="Y4" s="44">
        <v>46161</v>
      </c>
      <c r="Z4" s="44">
        <v>46164</v>
      </c>
      <c r="AA4" s="46" t="s">
        <v>66</v>
      </c>
      <c r="AB4" s="47">
        <v>-1</v>
      </c>
      <c r="AC4" s="1">
        <v>46185</v>
      </c>
      <c r="AD4" s="1">
        <v>46185</v>
      </c>
      <c r="AE4" s="3">
        <v>21</v>
      </c>
      <c r="AF4" s="3" t="s">
        <v>68</v>
      </c>
      <c r="AG4" s="3" t="s">
        <v>68</v>
      </c>
      <c r="AH4" s="3">
        <v>13.5</v>
      </c>
      <c r="AI4" s="3">
        <v>10.428571428571429</v>
      </c>
      <c r="AJ4"/>
      <c r="AK4" s="3" t="s">
        <v>69</v>
      </c>
      <c r="AL4" t="s">
        <v>70</v>
      </c>
      <c r="AM4" t="s">
        <v>71</v>
      </c>
      <c r="AN4" t="s">
        <v>72</v>
      </c>
      <c r="AO4" t="s">
        <v>62</v>
      </c>
      <c r="AP4" s="10"/>
      <c r="AQ4" s="1">
        <v>46114</v>
      </c>
      <c r="AR4" s="48" t="e">
        <v>#N/A</v>
      </c>
      <c r="AS4">
        <v>5689</v>
      </c>
      <c r="AT4">
        <v>100</v>
      </c>
      <c r="AU4" t="s">
        <v>847</v>
      </c>
      <c r="AV4">
        <v>32.42</v>
      </c>
      <c r="AW4">
        <v>1.57</v>
      </c>
      <c r="AX4">
        <v>500</v>
      </c>
      <c r="AY4">
        <v>38</v>
      </c>
      <c r="AZ4">
        <v>29.5</v>
      </c>
      <c r="BA4">
        <v>19.5</v>
      </c>
      <c r="BB4">
        <v>2</v>
      </c>
      <c r="BC4" s="3" t="s">
        <v>845</v>
      </c>
      <c r="BD4" s="16" t="s">
        <v>74</v>
      </c>
      <c r="BE4" t="s">
        <v>75</v>
      </c>
      <c r="BF4" s="49" t="e">
        <v>#N/A</v>
      </c>
      <c r="BG4" s="50" t="s">
        <v>75</v>
      </c>
      <c r="BH4" s="50" t="s">
        <v>843</v>
      </c>
      <c r="BI4" s="50" t="s">
        <v>75</v>
      </c>
    </row>
    <row r="5" spans="1:61" ht="15" x14ac:dyDescent="0.25">
      <c r="A5" s="1">
        <v>46092</v>
      </c>
      <c r="B5" t="s">
        <v>127</v>
      </c>
      <c r="C5" s="10" t="s">
        <v>128</v>
      </c>
      <c r="D5" s="10" t="s">
        <v>129</v>
      </c>
      <c r="E5" t="s">
        <v>898</v>
      </c>
      <c r="F5" t="s">
        <v>62</v>
      </c>
      <c r="G5" s="39" t="s">
        <v>964</v>
      </c>
      <c r="H5" s="10" t="s">
        <v>551</v>
      </c>
      <c r="I5" t="s">
        <v>899</v>
      </c>
      <c r="J5" s="54">
        <v>1000</v>
      </c>
      <c r="K5" s="4" t="s">
        <v>64</v>
      </c>
      <c r="L5" s="40">
        <v>0</v>
      </c>
      <c r="M5" s="40">
        <v>1000</v>
      </c>
      <c r="N5" s="5">
        <v>2.798</v>
      </c>
      <c r="O5">
        <v>2798</v>
      </c>
      <c r="P5" t="s">
        <v>65</v>
      </c>
      <c r="Q5" s="6">
        <v>6990</v>
      </c>
      <c r="R5" s="41">
        <v>7.4999999999999997E-3</v>
      </c>
      <c r="S5" s="42">
        <v>7.5</v>
      </c>
      <c r="T5" s="42">
        <v>500</v>
      </c>
      <c r="U5" s="43">
        <v>0.25</v>
      </c>
      <c r="V5" s="44">
        <v>46140</v>
      </c>
      <c r="W5" s="45">
        <v>46155</v>
      </c>
      <c r="X5" s="46" t="s">
        <v>66</v>
      </c>
      <c r="Y5" s="44">
        <v>46161</v>
      </c>
      <c r="Z5" s="44">
        <v>46164</v>
      </c>
      <c r="AA5" s="46" t="s">
        <v>66</v>
      </c>
      <c r="AB5" s="47">
        <v>9</v>
      </c>
      <c r="AC5" s="1">
        <v>46171</v>
      </c>
      <c r="AD5" s="1">
        <v>46171</v>
      </c>
      <c r="AE5" s="3">
        <v>7</v>
      </c>
      <c r="AF5" s="3" t="s">
        <v>68</v>
      </c>
      <c r="AG5" s="3" t="s">
        <v>68</v>
      </c>
      <c r="AH5" s="3">
        <v>12.5</v>
      </c>
      <c r="AI5" s="3">
        <v>10.285714285714286</v>
      </c>
      <c r="AJ5"/>
      <c r="AK5" s="3" t="s">
        <v>69</v>
      </c>
      <c r="AL5" t="s">
        <v>70</v>
      </c>
      <c r="AM5" t="s">
        <v>71</v>
      </c>
      <c r="AN5" t="s">
        <v>72</v>
      </c>
      <c r="AO5"/>
      <c r="AP5" s="52" t="s">
        <v>132</v>
      </c>
      <c r="AQ5" s="1">
        <v>46120</v>
      </c>
      <c r="AR5" s="48" t="e">
        <v>#N/A</v>
      </c>
      <c r="AS5">
        <v>5739</v>
      </c>
      <c r="AT5">
        <v>100</v>
      </c>
      <c r="AU5" t="s">
        <v>900</v>
      </c>
      <c r="AV5">
        <v>18.13</v>
      </c>
      <c r="AW5">
        <v>14.36</v>
      </c>
      <c r="AX5">
        <v>700</v>
      </c>
      <c r="AY5">
        <v>38</v>
      </c>
      <c r="AZ5">
        <v>29.5</v>
      </c>
      <c r="BA5">
        <v>19.5</v>
      </c>
      <c r="BB5">
        <v>2</v>
      </c>
      <c r="BC5" s="3" t="s">
        <v>898</v>
      </c>
      <c r="BD5" s="16" t="s">
        <v>74</v>
      </c>
      <c r="BE5" t="s">
        <v>75</v>
      </c>
      <c r="BF5" s="49" t="e">
        <v>#N/A</v>
      </c>
      <c r="BG5" s="50" t="s">
        <v>75</v>
      </c>
      <c r="BH5" s="50" t="s">
        <v>128</v>
      </c>
      <c r="BI5" s="50" t="s">
        <v>75</v>
      </c>
    </row>
    <row r="6" spans="1:61" ht="15" x14ac:dyDescent="0.25">
      <c r="A6" s="1">
        <v>46092</v>
      </c>
      <c r="B6" t="s">
        <v>901</v>
      </c>
      <c r="C6" s="10" t="s">
        <v>902</v>
      </c>
      <c r="D6" s="10" t="s">
        <v>903</v>
      </c>
      <c r="E6" t="s">
        <v>904</v>
      </c>
      <c r="F6" t="s">
        <v>62</v>
      </c>
      <c r="G6" s="39" t="s">
        <v>964</v>
      </c>
      <c r="H6" s="10" t="s">
        <v>571</v>
      </c>
      <c r="I6" t="s">
        <v>905</v>
      </c>
      <c r="J6" s="54">
        <v>2000</v>
      </c>
      <c r="K6" s="4">
        <v>46153</v>
      </c>
      <c r="L6" s="40">
        <v>0</v>
      </c>
      <c r="M6" s="40">
        <v>2000</v>
      </c>
      <c r="N6" s="5">
        <v>1.65</v>
      </c>
      <c r="O6">
        <v>3300</v>
      </c>
      <c r="P6" t="s">
        <v>65</v>
      </c>
      <c r="Q6" s="6">
        <v>3686.4</v>
      </c>
      <c r="R6" s="41">
        <v>1.8890000000000001E-2</v>
      </c>
      <c r="S6" s="42">
        <v>37.78</v>
      </c>
      <c r="T6" s="42">
        <v>500</v>
      </c>
      <c r="U6" s="43">
        <v>0.5</v>
      </c>
      <c r="V6" s="44">
        <v>46140</v>
      </c>
      <c r="W6" s="45">
        <v>46155</v>
      </c>
      <c r="X6" s="46" t="s">
        <v>66</v>
      </c>
      <c r="Y6" s="44">
        <v>46161</v>
      </c>
      <c r="Z6" s="44">
        <v>46164</v>
      </c>
      <c r="AA6" s="46" t="s">
        <v>66</v>
      </c>
      <c r="AB6" s="47">
        <v>9</v>
      </c>
      <c r="AC6" s="1">
        <v>46164</v>
      </c>
      <c r="AD6" s="1">
        <v>46164</v>
      </c>
      <c r="AE6" s="3">
        <v>0</v>
      </c>
      <c r="AF6" s="3" t="s">
        <v>68</v>
      </c>
      <c r="AG6" s="3" t="s">
        <v>68</v>
      </c>
      <c r="AH6" s="3">
        <v>12.5</v>
      </c>
      <c r="AI6" s="3">
        <v>10.285714285714286</v>
      </c>
      <c r="AJ6"/>
      <c r="AK6" s="3" t="s">
        <v>69</v>
      </c>
      <c r="AL6" t="s">
        <v>70</v>
      </c>
      <c r="AM6" t="s">
        <v>71</v>
      </c>
      <c r="AN6" t="s">
        <v>72</v>
      </c>
      <c r="AO6"/>
      <c r="AP6" s="10"/>
      <c r="AQ6" s="1">
        <v>46120</v>
      </c>
      <c r="AR6" s="48" t="e">
        <v>#N/A</v>
      </c>
      <c r="AS6">
        <v>5738</v>
      </c>
      <c r="AT6">
        <v>100</v>
      </c>
      <c r="AU6" t="s">
        <v>906</v>
      </c>
      <c r="AV6">
        <v>17.36</v>
      </c>
      <c r="AW6">
        <v>14.86</v>
      </c>
      <c r="AX6">
        <v>750</v>
      </c>
      <c r="AY6">
        <v>36</v>
      </c>
      <c r="AZ6">
        <v>34</v>
      </c>
      <c r="BA6">
        <v>24.5</v>
      </c>
      <c r="BB6">
        <v>3</v>
      </c>
      <c r="BC6" s="3" t="s">
        <v>904</v>
      </c>
      <c r="BD6" s="16" t="s">
        <v>74</v>
      </c>
      <c r="BE6" t="s">
        <v>75</v>
      </c>
      <c r="BF6" s="49" t="e">
        <v>#N/A</v>
      </c>
      <c r="BG6" s="50" t="s">
        <v>75</v>
      </c>
      <c r="BH6" s="50" t="s">
        <v>902</v>
      </c>
      <c r="BI6" s="50" t="s">
        <v>75</v>
      </c>
    </row>
    <row r="7" spans="1:61" ht="15" x14ac:dyDescent="0.25">
      <c r="A7" s="1">
        <v>46090</v>
      </c>
      <c r="B7" t="s">
        <v>59</v>
      </c>
      <c r="C7" t="s">
        <v>60</v>
      </c>
      <c r="D7" t="s">
        <v>60</v>
      </c>
      <c r="E7" t="s">
        <v>805</v>
      </c>
      <c r="F7" t="s">
        <v>62</v>
      </c>
      <c r="G7" s="39" t="s">
        <v>964</v>
      </c>
      <c r="H7" s="10" t="s">
        <v>571</v>
      </c>
      <c r="I7" t="s">
        <v>806</v>
      </c>
      <c r="J7">
        <v>1000</v>
      </c>
      <c r="K7" s="4">
        <v>46153</v>
      </c>
      <c r="L7" s="40">
        <v>0</v>
      </c>
      <c r="M7" s="40">
        <v>1000</v>
      </c>
      <c r="N7">
        <v>0.74299999999999999</v>
      </c>
      <c r="O7">
        <v>743</v>
      </c>
      <c r="P7" t="s">
        <v>65</v>
      </c>
      <c r="Q7" s="6">
        <v>3343.7</v>
      </c>
      <c r="R7" s="41">
        <v>1.0149999999999999E-2</v>
      </c>
      <c r="S7" s="42">
        <v>10.149999999999999</v>
      </c>
      <c r="T7" s="42">
        <v>350</v>
      </c>
      <c r="U7" s="43">
        <v>0.35714285714285715</v>
      </c>
      <c r="V7" s="44">
        <v>46126</v>
      </c>
      <c r="W7" s="45">
        <v>46141</v>
      </c>
      <c r="X7" s="46" t="s">
        <v>66</v>
      </c>
      <c r="Y7" s="44">
        <v>46161</v>
      </c>
      <c r="Z7" s="44">
        <v>46164</v>
      </c>
      <c r="AA7" s="46" t="s">
        <v>66</v>
      </c>
      <c r="AB7" s="47">
        <v>23</v>
      </c>
      <c r="AC7" s="1">
        <v>46164</v>
      </c>
      <c r="AD7" s="1">
        <v>46164</v>
      </c>
      <c r="AE7" s="3">
        <v>0</v>
      </c>
      <c r="AF7" s="3" t="s">
        <v>68</v>
      </c>
      <c r="AG7" s="3" t="s">
        <v>68</v>
      </c>
      <c r="AH7" s="3">
        <v>14.5</v>
      </c>
      <c r="AI7" s="3">
        <v>10.571428571428571</v>
      </c>
      <c r="AJ7"/>
      <c r="AK7" s="3" t="s">
        <v>69</v>
      </c>
      <c r="AL7" t="s">
        <v>70</v>
      </c>
      <c r="AM7" t="s">
        <v>71</v>
      </c>
      <c r="AN7" t="s">
        <v>72</v>
      </c>
      <c r="AO7" t="s">
        <v>62</v>
      </c>
      <c r="AP7" s="10"/>
      <c r="AQ7" s="1">
        <v>46070</v>
      </c>
      <c r="AR7" s="48" t="e">
        <v>#N/A</v>
      </c>
      <c r="AS7">
        <v>5625</v>
      </c>
      <c r="AT7">
        <v>100</v>
      </c>
      <c r="AU7" t="s">
        <v>807</v>
      </c>
      <c r="AV7">
        <v>0.5</v>
      </c>
      <c r="AW7">
        <v>2.57</v>
      </c>
      <c r="AX7">
        <v>1000</v>
      </c>
      <c r="AY7">
        <v>38</v>
      </c>
      <c r="AZ7">
        <v>29.5</v>
      </c>
      <c r="BA7">
        <v>19.5</v>
      </c>
      <c r="BB7">
        <v>33</v>
      </c>
      <c r="BC7" s="3" t="s">
        <v>808</v>
      </c>
      <c r="BD7" t="s">
        <v>74</v>
      </c>
      <c r="BE7" t="s">
        <v>75</v>
      </c>
      <c r="BF7" s="49" t="e">
        <v>#N/A</v>
      </c>
      <c r="BG7" s="50" t="s">
        <v>75</v>
      </c>
      <c r="BH7" s="50" t="s">
        <v>75</v>
      </c>
      <c r="BI7" s="50" t="s">
        <v>75</v>
      </c>
    </row>
    <row r="8" spans="1:61" ht="15" x14ac:dyDescent="0.25">
      <c r="A8" s="1">
        <v>46091</v>
      </c>
      <c r="B8" t="s">
        <v>848</v>
      </c>
      <c r="C8" t="s">
        <v>849</v>
      </c>
      <c r="D8" s="10" t="s">
        <v>849</v>
      </c>
      <c r="E8" t="s">
        <v>850</v>
      </c>
      <c r="F8" t="s">
        <v>62</v>
      </c>
      <c r="G8" s="39" t="s">
        <v>964</v>
      </c>
      <c r="H8" s="10" t="s">
        <v>571</v>
      </c>
      <c r="I8" t="s">
        <v>851</v>
      </c>
      <c r="J8">
        <v>2000</v>
      </c>
      <c r="K8" s="4">
        <v>46153</v>
      </c>
      <c r="L8" s="40">
        <v>0</v>
      </c>
      <c r="M8" s="40">
        <v>2000</v>
      </c>
      <c r="N8" s="5">
        <v>0.42399999999999999</v>
      </c>
      <c r="O8">
        <v>848</v>
      </c>
      <c r="P8" t="s">
        <v>65</v>
      </c>
      <c r="Q8" s="6">
        <v>1890</v>
      </c>
      <c r="R8" s="41">
        <v>6.0699999999999999E-3</v>
      </c>
      <c r="S8" s="42">
        <v>12.14</v>
      </c>
      <c r="T8" s="42">
        <v>300</v>
      </c>
      <c r="U8" s="43">
        <v>0.83333333333333337</v>
      </c>
      <c r="V8" s="44">
        <v>46133</v>
      </c>
      <c r="W8" s="45">
        <v>46148</v>
      </c>
      <c r="X8" s="46" t="s">
        <v>66</v>
      </c>
      <c r="Y8" s="44">
        <v>46161</v>
      </c>
      <c r="Z8" s="44">
        <v>46164</v>
      </c>
      <c r="AA8" s="46" t="s">
        <v>66</v>
      </c>
      <c r="AB8" s="47">
        <v>16</v>
      </c>
      <c r="AC8" s="1">
        <v>46164</v>
      </c>
      <c r="AD8" s="1">
        <v>46164</v>
      </c>
      <c r="AE8" s="3">
        <v>0</v>
      </c>
      <c r="AF8" s="3" t="s">
        <v>68</v>
      </c>
      <c r="AG8" s="3" t="s">
        <v>68</v>
      </c>
      <c r="AH8" s="3">
        <v>13.5</v>
      </c>
      <c r="AI8" s="3">
        <v>10.428571428571429</v>
      </c>
      <c r="AJ8"/>
      <c r="AK8" s="3" t="s">
        <v>69</v>
      </c>
      <c r="AL8" t="s">
        <v>70</v>
      </c>
      <c r="AM8" t="s">
        <v>71</v>
      </c>
      <c r="AN8" t="s">
        <v>72</v>
      </c>
      <c r="AO8" t="s">
        <v>62</v>
      </c>
      <c r="AP8" s="10"/>
      <c r="AQ8" s="1">
        <v>46116</v>
      </c>
      <c r="AR8" s="48" t="e">
        <v>#N/A</v>
      </c>
      <c r="AS8">
        <v>5687</v>
      </c>
      <c r="AT8">
        <v>100</v>
      </c>
      <c r="AU8" t="s">
        <v>852</v>
      </c>
      <c r="AV8">
        <v>0.42499999999999999</v>
      </c>
      <c r="AW8">
        <v>2.08</v>
      </c>
      <c r="AX8">
        <v>2000</v>
      </c>
      <c r="AY8">
        <v>36.5</v>
      </c>
      <c r="AZ8">
        <v>35</v>
      </c>
      <c r="BA8">
        <v>8</v>
      </c>
      <c r="BB8">
        <v>1</v>
      </c>
      <c r="BC8" s="3" t="s">
        <v>850</v>
      </c>
      <c r="BD8" s="16" t="s">
        <v>309</v>
      </c>
      <c r="BE8" t="s">
        <v>75</v>
      </c>
      <c r="BF8" s="49" t="e">
        <v>#N/A</v>
      </c>
      <c r="BG8" s="50" t="s">
        <v>75</v>
      </c>
      <c r="BH8" s="50" t="s">
        <v>75</v>
      </c>
      <c r="BI8" s="50" t="s">
        <v>849</v>
      </c>
    </row>
    <row r="9" spans="1:61" ht="15" x14ac:dyDescent="0.25">
      <c r="A9" s="1">
        <v>46092</v>
      </c>
      <c r="B9" t="s">
        <v>914</v>
      </c>
      <c r="C9" s="10" t="s">
        <v>915</v>
      </c>
      <c r="D9" s="10" t="s">
        <v>915</v>
      </c>
      <c r="E9" t="s">
        <v>916</v>
      </c>
      <c r="F9" t="s">
        <v>62</v>
      </c>
      <c r="G9" s="39" t="s">
        <v>964</v>
      </c>
      <c r="H9" s="10" t="s">
        <v>571</v>
      </c>
      <c r="I9" t="s">
        <v>917</v>
      </c>
      <c r="J9" s="54">
        <v>100</v>
      </c>
      <c r="K9" s="4">
        <v>46153</v>
      </c>
      <c r="L9" s="40">
        <v>0</v>
      </c>
      <c r="M9" s="40">
        <v>100</v>
      </c>
      <c r="N9" s="5">
        <v>0.64500000000000002</v>
      </c>
      <c r="O9">
        <v>64.5</v>
      </c>
      <c r="P9" t="s">
        <v>65</v>
      </c>
      <c r="Q9" s="6">
        <v>1329</v>
      </c>
      <c r="R9" s="41">
        <v>1.299E-2</v>
      </c>
      <c r="S9" s="42">
        <v>1.2989999999999999</v>
      </c>
      <c r="T9" s="42">
        <v>350</v>
      </c>
      <c r="U9" s="43">
        <v>3.5714285714285712E-2</v>
      </c>
      <c r="V9" s="44">
        <v>46140</v>
      </c>
      <c r="W9" s="45">
        <v>46155</v>
      </c>
      <c r="X9" s="46" t="s">
        <v>66</v>
      </c>
      <c r="Y9" s="44">
        <v>46161</v>
      </c>
      <c r="Z9" s="44">
        <v>46164</v>
      </c>
      <c r="AA9" s="46" t="s">
        <v>66</v>
      </c>
      <c r="AB9" s="47">
        <v>9</v>
      </c>
      <c r="AC9" s="1">
        <v>46185</v>
      </c>
      <c r="AD9" s="1">
        <v>46185</v>
      </c>
      <c r="AE9" s="3">
        <v>21</v>
      </c>
      <c r="AF9" s="3" t="s">
        <v>68</v>
      </c>
      <c r="AG9" s="3" t="s">
        <v>68</v>
      </c>
      <c r="AH9" s="3">
        <v>12.5</v>
      </c>
      <c r="AI9" s="3">
        <v>10.285714285714286</v>
      </c>
      <c r="AJ9"/>
      <c r="AK9" s="3" t="s">
        <v>69</v>
      </c>
      <c r="AL9" t="s">
        <v>70</v>
      </c>
      <c r="AM9" t="s">
        <v>71</v>
      </c>
      <c r="AN9" t="s">
        <v>72</v>
      </c>
      <c r="AO9"/>
      <c r="AP9" s="10"/>
      <c r="AQ9" s="1">
        <v>46120</v>
      </c>
      <c r="AR9" s="48" t="e">
        <v>#N/A</v>
      </c>
      <c r="AS9">
        <v>5732</v>
      </c>
      <c r="AT9">
        <v>100</v>
      </c>
      <c r="AU9" t="s">
        <v>918</v>
      </c>
      <c r="AV9">
        <v>0.62</v>
      </c>
      <c r="AW9">
        <v>2.96</v>
      </c>
      <c r="AX9">
        <v>1000</v>
      </c>
      <c r="AY9">
        <v>38</v>
      </c>
      <c r="AZ9">
        <v>29.5</v>
      </c>
      <c r="BA9">
        <v>19.5</v>
      </c>
      <c r="BB9">
        <v>1</v>
      </c>
      <c r="BC9" s="3" t="s">
        <v>916</v>
      </c>
      <c r="BD9" s="16" t="s">
        <v>74</v>
      </c>
      <c r="BE9" t="s">
        <v>75</v>
      </c>
      <c r="BF9" s="49" t="e">
        <v>#N/A</v>
      </c>
      <c r="BG9" s="50" t="s">
        <v>75</v>
      </c>
      <c r="BH9" s="50" t="s">
        <v>75</v>
      </c>
      <c r="BI9" s="50" t="s">
        <v>75</v>
      </c>
    </row>
    <row r="10" spans="1:61" ht="15" x14ac:dyDescent="0.25">
      <c r="A10" s="1">
        <v>46122</v>
      </c>
      <c r="B10" t="s">
        <v>914</v>
      </c>
      <c r="C10" s="10" t="s">
        <v>915</v>
      </c>
      <c r="D10" s="10" t="s">
        <v>915</v>
      </c>
      <c r="E10" t="s">
        <v>938</v>
      </c>
      <c r="F10" t="s">
        <v>62</v>
      </c>
      <c r="G10" s="39" t="s">
        <v>964</v>
      </c>
      <c r="H10" s="10" t="s">
        <v>571</v>
      </c>
      <c r="I10" t="s">
        <v>939</v>
      </c>
      <c r="J10" s="54">
        <v>100</v>
      </c>
      <c r="K10" s="4">
        <v>46153</v>
      </c>
      <c r="L10" s="40">
        <v>0</v>
      </c>
      <c r="M10">
        <v>100</v>
      </c>
      <c r="N10" s="5">
        <v>0.64500000000000002</v>
      </c>
      <c r="O10">
        <v>64.5</v>
      </c>
      <c r="P10" t="s">
        <v>65</v>
      </c>
      <c r="Q10" s="6">
        <v>1329</v>
      </c>
      <c r="R10" s="41">
        <v>1.299E-2</v>
      </c>
      <c r="S10" s="42">
        <v>1.2989999999999999</v>
      </c>
      <c r="T10" s="42">
        <v>350</v>
      </c>
      <c r="U10" s="43">
        <v>3.5714285714285712E-2</v>
      </c>
      <c r="V10" s="44">
        <v>46140</v>
      </c>
      <c r="W10" s="45">
        <v>46155</v>
      </c>
      <c r="X10" s="46" t="s">
        <v>66</v>
      </c>
      <c r="Y10" s="44">
        <v>46161</v>
      </c>
      <c r="Z10" s="44">
        <v>46164</v>
      </c>
      <c r="AA10" s="46" t="s">
        <v>66</v>
      </c>
      <c r="AB10" s="47">
        <v>9</v>
      </c>
      <c r="AC10" s="1">
        <v>46206</v>
      </c>
      <c r="AD10" s="1">
        <v>46206</v>
      </c>
      <c r="AE10" s="3">
        <v>42</v>
      </c>
      <c r="AF10" s="3" t="s">
        <v>68</v>
      </c>
      <c r="AG10" s="3" t="s">
        <v>68</v>
      </c>
      <c r="AH10" s="3">
        <v>-17.5</v>
      </c>
      <c r="AI10" s="3">
        <v>6</v>
      </c>
      <c r="AJ10"/>
      <c r="AK10" t="s">
        <v>68</v>
      </c>
      <c r="AL10" t="s">
        <v>70</v>
      </c>
      <c r="AM10" t="s">
        <v>71</v>
      </c>
      <c r="AN10" s="58" t="s">
        <v>72</v>
      </c>
      <c r="AO10"/>
      <c r="AP10" s="10"/>
      <c r="AQ10" s="1">
        <v>46150</v>
      </c>
      <c r="AR10" s="48" t="e">
        <v>#N/A</v>
      </c>
      <c r="AS10">
        <v>6202</v>
      </c>
      <c r="AT10">
        <v>100</v>
      </c>
      <c r="AU10" t="s">
        <v>940</v>
      </c>
      <c r="AV10">
        <v>0.62</v>
      </c>
      <c r="AW10">
        <v>2.96</v>
      </c>
      <c r="AX10">
        <v>1000</v>
      </c>
      <c r="AY10">
        <v>38</v>
      </c>
      <c r="AZ10">
        <v>29.5</v>
      </c>
      <c r="BA10">
        <v>19.5</v>
      </c>
      <c r="BB10">
        <v>1</v>
      </c>
      <c r="BC10" s="16" t="s">
        <v>938</v>
      </c>
      <c r="BD10" s="16"/>
      <c r="BE10" t="s">
        <v>75</v>
      </c>
      <c r="BF10" s="49" t="e">
        <v>#N/A</v>
      </c>
      <c r="BG10" s="50" t="s">
        <v>75</v>
      </c>
      <c r="BH10" s="50" t="s">
        <v>75</v>
      </c>
      <c r="BI10" s="50" t="s">
        <v>75</v>
      </c>
    </row>
    <row r="11" spans="1:61" ht="15" x14ac:dyDescent="0.25">
      <c r="A11" s="1">
        <v>46091</v>
      </c>
      <c r="B11" t="s">
        <v>976</v>
      </c>
      <c r="C11" t="s">
        <v>977</v>
      </c>
      <c r="D11" s="10">
        <v>132137</v>
      </c>
      <c r="E11" t="s">
        <v>978</v>
      </c>
      <c r="F11" t="s">
        <v>62</v>
      </c>
      <c r="G11" s="39" t="s">
        <v>964</v>
      </c>
      <c r="H11" s="10" t="s">
        <v>571</v>
      </c>
      <c r="I11" t="s">
        <v>979</v>
      </c>
      <c r="J11">
        <v>12100</v>
      </c>
      <c r="K11" s="4">
        <v>46153</v>
      </c>
      <c r="L11" s="40">
        <v>0</v>
      </c>
      <c r="M11" s="40">
        <v>12100</v>
      </c>
      <c r="N11" s="5">
        <v>1.153</v>
      </c>
      <c r="O11">
        <v>13951.3</v>
      </c>
      <c r="P11" t="s">
        <v>65</v>
      </c>
      <c r="Q11" s="6">
        <v>593</v>
      </c>
      <c r="R11" s="41">
        <v>6.8399999999999997E-3</v>
      </c>
      <c r="S11" s="42">
        <v>82.763999999999996</v>
      </c>
      <c r="T11" s="42">
        <v>500</v>
      </c>
      <c r="U11" s="43">
        <v>3.0249999999999999</v>
      </c>
      <c r="V11" s="44">
        <v>46133</v>
      </c>
      <c r="W11" s="45">
        <v>46148</v>
      </c>
      <c r="X11" s="46" t="s">
        <v>66</v>
      </c>
      <c r="Y11" s="44">
        <v>46161</v>
      </c>
      <c r="Z11" s="44">
        <v>46164</v>
      </c>
      <c r="AA11" s="46" t="s">
        <v>66</v>
      </c>
      <c r="AB11" s="47">
        <v>16</v>
      </c>
      <c r="AC11" s="1">
        <v>46157</v>
      </c>
      <c r="AD11" s="1">
        <v>46164</v>
      </c>
      <c r="AE11" s="3">
        <v>0</v>
      </c>
      <c r="AF11" s="3" t="s">
        <v>68</v>
      </c>
      <c r="AG11" s="3" t="s">
        <v>69</v>
      </c>
      <c r="AH11" s="3">
        <v>13.5</v>
      </c>
      <c r="AI11" s="3">
        <v>10.428571428571429</v>
      </c>
      <c r="AJ11"/>
      <c r="AK11" s="3" t="s">
        <v>69</v>
      </c>
      <c r="AL11" t="s">
        <v>70</v>
      </c>
      <c r="AM11" t="s">
        <v>71</v>
      </c>
      <c r="AN11" t="s">
        <v>72</v>
      </c>
      <c r="AO11" t="s">
        <v>62</v>
      </c>
      <c r="AP11" s="10"/>
      <c r="AQ11" s="1">
        <v>46131</v>
      </c>
      <c r="AR11" s="48" t="e">
        <v>#N/A</v>
      </c>
      <c r="AS11">
        <v>5672</v>
      </c>
      <c r="AT11">
        <v>100</v>
      </c>
      <c r="AU11" t="s">
        <v>980</v>
      </c>
      <c r="AV11">
        <v>2.56</v>
      </c>
      <c r="AW11">
        <v>4.82</v>
      </c>
      <c r="AX11">
        <v>1000</v>
      </c>
      <c r="AY11">
        <v>38</v>
      </c>
      <c r="AZ11">
        <v>29.5</v>
      </c>
      <c r="BA11">
        <v>19.5</v>
      </c>
      <c r="BB11">
        <v>13</v>
      </c>
      <c r="BC11" s="3" t="s">
        <v>978</v>
      </c>
      <c r="BD11" s="16" t="s">
        <v>74</v>
      </c>
      <c r="BE11" t="s">
        <v>75</v>
      </c>
      <c r="BF11" s="49" t="e">
        <v>#N/A</v>
      </c>
      <c r="BG11" s="50" t="s">
        <v>75</v>
      </c>
      <c r="BH11" s="50" t="s">
        <v>75</v>
      </c>
      <c r="BI11" s="50" t="s">
        <v>75</v>
      </c>
    </row>
    <row r="12" spans="1:61" ht="15" x14ac:dyDescent="0.25">
      <c r="A12" s="1">
        <v>46042</v>
      </c>
      <c r="B12" t="s">
        <v>487</v>
      </c>
      <c r="C12" t="s">
        <v>488</v>
      </c>
      <c r="D12">
        <v>262105</v>
      </c>
      <c r="E12" t="s">
        <v>489</v>
      </c>
      <c r="F12" t="s">
        <v>62</v>
      </c>
      <c r="G12" s="39" t="s">
        <v>964</v>
      </c>
      <c r="H12" s="10" t="s">
        <v>551</v>
      </c>
      <c r="I12" t="s">
        <v>515</v>
      </c>
      <c r="J12">
        <v>10000</v>
      </c>
      <c r="K12" s="4" t="s">
        <v>64</v>
      </c>
      <c r="L12" s="40">
        <v>0</v>
      </c>
      <c r="M12" s="40">
        <v>10000</v>
      </c>
      <c r="N12" s="5">
        <v>0.52100000000000002</v>
      </c>
      <c r="O12">
        <v>5210</v>
      </c>
      <c r="P12" t="s">
        <v>14</v>
      </c>
      <c r="Q12" s="6">
        <v>13440</v>
      </c>
      <c r="R12" s="41">
        <v>9.8700000000000003E-3</v>
      </c>
      <c r="S12" s="42">
        <v>98.7</v>
      </c>
      <c r="T12" s="42">
        <v>300</v>
      </c>
      <c r="U12" s="43">
        <v>4.166666666666667</v>
      </c>
      <c r="V12" s="44">
        <v>46098</v>
      </c>
      <c r="W12" s="45">
        <v>46113</v>
      </c>
      <c r="X12" s="46" t="s">
        <v>66</v>
      </c>
      <c r="Y12" s="44">
        <v>46161</v>
      </c>
      <c r="Z12" s="53">
        <v>46164</v>
      </c>
      <c r="AA12" s="46" t="s">
        <v>66</v>
      </c>
      <c r="AB12" s="47">
        <v>51</v>
      </c>
      <c r="AC12" s="1">
        <v>46164</v>
      </c>
      <c r="AD12" s="1">
        <v>46164</v>
      </c>
      <c r="AE12" s="3">
        <v>0</v>
      </c>
      <c r="AF12" s="3" t="s">
        <v>68</v>
      </c>
      <c r="AG12" s="3" t="s">
        <v>68</v>
      </c>
      <c r="AH12" s="3">
        <v>62.5</v>
      </c>
      <c r="AI12" s="3">
        <v>17.428571428571427</v>
      </c>
      <c r="AJ12"/>
      <c r="AK12" s="3" t="s">
        <v>69</v>
      </c>
      <c r="AL12" t="s">
        <v>70</v>
      </c>
      <c r="AM12" t="s">
        <v>71</v>
      </c>
      <c r="AN12" t="s">
        <v>72</v>
      </c>
      <c r="AO12" t="s">
        <v>62</v>
      </c>
      <c r="AP12" s="52"/>
      <c r="AQ12" s="1">
        <v>46070</v>
      </c>
      <c r="AR12" s="48" t="e">
        <v>#N/A</v>
      </c>
      <c r="AS12">
        <v>4988</v>
      </c>
      <c r="AT12">
        <v>400</v>
      </c>
      <c r="AU12" t="s">
        <v>516</v>
      </c>
      <c r="AV12">
        <v>0.435</v>
      </c>
      <c r="AW12">
        <v>3.04</v>
      </c>
      <c r="AX12">
        <v>1000</v>
      </c>
      <c r="AY12">
        <v>38</v>
      </c>
      <c r="AZ12">
        <v>29.5</v>
      </c>
      <c r="BA12">
        <v>19.5</v>
      </c>
      <c r="BB12">
        <v>10</v>
      </c>
      <c r="BC12" s="3" t="s">
        <v>489</v>
      </c>
      <c r="BD12" t="s">
        <v>74</v>
      </c>
      <c r="BE12" t="s">
        <v>75</v>
      </c>
      <c r="BF12" s="49" t="e">
        <v>#N/A</v>
      </c>
      <c r="BG12" s="50" t="s">
        <v>75</v>
      </c>
      <c r="BH12" s="50" t="s">
        <v>75</v>
      </c>
      <c r="BI12" s="50" t="s">
        <v>75</v>
      </c>
    </row>
    <row r="13" spans="1:61" ht="15" x14ac:dyDescent="0.25">
      <c r="A13" s="1">
        <v>46106</v>
      </c>
      <c r="B13" t="s">
        <v>732</v>
      </c>
      <c r="C13" s="10" t="s">
        <v>733</v>
      </c>
      <c r="D13" s="10">
        <v>132291</v>
      </c>
      <c r="E13" t="s">
        <v>935</v>
      </c>
      <c r="F13" t="s">
        <v>62</v>
      </c>
      <c r="G13" s="39" t="s">
        <v>964</v>
      </c>
      <c r="H13" s="10" t="s">
        <v>571</v>
      </c>
      <c r="I13" t="s">
        <v>936</v>
      </c>
      <c r="J13" s="54">
        <v>14000</v>
      </c>
      <c r="K13" s="4">
        <v>46153</v>
      </c>
      <c r="L13" s="40">
        <v>0</v>
      </c>
      <c r="M13" s="40">
        <v>14000</v>
      </c>
      <c r="N13" s="5">
        <v>1.5529999999999999</v>
      </c>
      <c r="O13">
        <v>21742</v>
      </c>
      <c r="P13" t="s">
        <v>65</v>
      </c>
      <c r="Q13" s="6">
        <v>40652.25</v>
      </c>
      <c r="R13" s="41">
        <v>1.039E-2</v>
      </c>
      <c r="S13" s="42">
        <v>145.46</v>
      </c>
      <c r="T13" s="42">
        <v>1000</v>
      </c>
      <c r="U13" s="43">
        <v>1.75</v>
      </c>
      <c r="V13" s="44">
        <v>46140</v>
      </c>
      <c r="W13" s="45">
        <v>46155</v>
      </c>
      <c r="X13" s="46" t="s">
        <v>66</v>
      </c>
      <c r="Y13" s="44">
        <v>46161</v>
      </c>
      <c r="Z13" s="44">
        <v>46164</v>
      </c>
      <c r="AA13" s="46" t="s">
        <v>66</v>
      </c>
      <c r="AB13" s="47">
        <v>9</v>
      </c>
      <c r="AC13" s="1">
        <v>46164</v>
      </c>
      <c r="AD13" s="1">
        <v>46164</v>
      </c>
      <c r="AE13" s="3">
        <v>0</v>
      </c>
      <c r="AF13" s="3" t="s">
        <v>68</v>
      </c>
      <c r="AG13" s="3" t="s">
        <v>68</v>
      </c>
      <c r="AH13" s="3">
        <v>-1.5</v>
      </c>
      <c r="AI13" s="3">
        <v>8.2857142857142865</v>
      </c>
      <c r="AJ13"/>
      <c r="AK13" s="3" t="s">
        <v>68</v>
      </c>
      <c r="AL13" t="s">
        <v>70</v>
      </c>
      <c r="AM13" t="s">
        <v>71</v>
      </c>
      <c r="AN13" t="s">
        <v>72</v>
      </c>
      <c r="AO13"/>
      <c r="AP13" s="10"/>
      <c r="AQ13" s="1">
        <v>46134</v>
      </c>
      <c r="AR13" s="48" t="e">
        <v>#N/A</v>
      </c>
      <c r="AS13">
        <v>5984</v>
      </c>
      <c r="AT13">
        <v>100</v>
      </c>
      <c r="AU13" t="s">
        <v>937</v>
      </c>
      <c r="AV13">
        <v>3.2120000000000002</v>
      </c>
      <c r="AW13">
        <v>4.7300000000000004</v>
      </c>
      <c r="AX13">
        <v>800</v>
      </c>
      <c r="AY13">
        <v>38</v>
      </c>
      <c r="AZ13">
        <v>29.5</v>
      </c>
      <c r="BA13">
        <v>19.5</v>
      </c>
      <c r="BB13">
        <v>18</v>
      </c>
      <c r="BC13" s="3" t="s">
        <v>935</v>
      </c>
      <c r="BD13" s="16" t="s">
        <v>74</v>
      </c>
      <c r="BE13" t="s">
        <v>75</v>
      </c>
      <c r="BF13" s="49" t="e">
        <v>#N/A</v>
      </c>
      <c r="BG13" s="50" t="s">
        <v>75</v>
      </c>
      <c r="BH13" s="50" t="s">
        <v>75</v>
      </c>
      <c r="BI13" s="50" t="s">
        <v>75</v>
      </c>
    </row>
    <row r="14" spans="1:61" ht="15" x14ac:dyDescent="0.25">
      <c r="A14" s="1">
        <v>46076</v>
      </c>
      <c r="B14" t="s">
        <v>179</v>
      </c>
      <c r="C14">
        <v>36775</v>
      </c>
      <c r="D14" s="10" t="s">
        <v>180</v>
      </c>
      <c r="E14" t="s">
        <v>181</v>
      </c>
      <c r="F14" t="s">
        <v>62</v>
      </c>
      <c r="G14" s="39"/>
      <c r="H14" s="10" t="s">
        <v>551</v>
      </c>
      <c r="I14" t="s">
        <v>591</v>
      </c>
      <c r="J14">
        <v>10000</v>
      </c>
      <c r="K14" s="4" t="s">
        <v>64</v>
      </c>
      <c r="L14" s="40">
        <v>0</v>
      </c>
      <c r="M14" s="40">
        <v>10000</v>
      </c>
      <c r="N14" s="5">
        <v>1.427</v>
      </c>
      <c r="O14">
        <v>14270</v>
      </c>
      <c r="P14" t="s">
        <v>14</v>
      </c>
      <c r="Q14" s="6"/>
      <c r="R14" s="41">
        <v>1.472E-2</v>
      </c>
      <c r="S14" s="42">
        <v>147.20000000000002</v>
      </c>
      <c r="T14" s="42">
        <v>400</v>
      </c>
      <c r="U14" s="43">
        <v>3.125</v>
      </c>
      <c r="V14" s="44">
        <v>46126</v>
      </c>
      <c r="W14" s="45">
        <v>46141</v>
      </c>
      <c r="X14" s="46" t="s">
        <v>66</v>
      </c>
      <c r="Y14" s="44">
        <v>46161</v>
      </c>
      <c r="Z14" s="53">
        <v>46164</v>
      </c>
      <c r="AA14" s="46" t="s">
        <v>66</v>
      </c>
      <c r="AB14" s="47">
        <v>23</v>
      </c>
      <c r="AC14" s="1">
        <v>46164</v>
      </c>
      <c r="AD14" s="1">
        <v>46164</v>
      </c>
      <c r="AE14" s="3">
        <v>0</v>
      </c>
      <c r="AF14" s="3" t="s">
        <v>68</v>
      </c>
      <c r="AG14" s="3" t="s">
        <v>68</v>
      </c>
      <c r="AH14" s="3">
        <v>28.5</v>
      </c>
      <c r="AI14" s="3">
        <v>12.571428571428571</v>
      </c>
      <c r="AJ14"/>
      <c r="AK14" s="3" t="s">
        <v>69</v>
      </c>
      <c r="AL14" t="s">
        <v>70</v>
      </c>
      <c r="AM14" t="s">
        <v>71</v>
      </c>
      <c r="AN14" t="s">
        <v>72</v>
      </c>
      <c r="AO14" t="s">
        <v>62</v>
      </c>
      <c r="AP14" s="10"/>
      <c r="AQ14" s="1">
        <v>46104</v>
      </c>
      <c r="AR14" s="48" t="e">
        <v>#N/A</v>
      </c>
      <c r="AS14">
        <v>5259</v>
      </c>
      <c r="AT14">
        <v>300</v>
      </c>
      <c r="AU14" t="s">
        <v>592</v>
      </c>
      <c r="AV14">
        <v>9.44</v>
      </c>
      <c r="AW14">
        <v>10.19</v>
      </c>
      <c r="AX14">
        <v>800</v>
      </c>
      <c r="AY14">
        <v>36</v>
      </c>
      <c r="AZ14">
        <v>34</v>
      </c>
      <c r="BA14">
        <v>24.5</v>
      </c>
      <c r="BB14">
        <v>13</v>
      </c>
      <c r="BC14" s="3" t="s">
        <v>181</v>
      </c>
      <c r="BD14" s="16" t="s">
        <v>74</v>
      </c>
      <c r="BE14" t="s">
        <v>75</v>
      </c>
      <c r="BF14" s="49" t="e">
        <v>#N/A</v>
      </c>
      <c r="BG14" s="50" t="s">
        <v>75</v>
      </c>
      <c r="BH14" s="50">
        <v>36775</v>
      </c>
      <c r="BI14" s="50" t="s">
        <v>75</v>
      </c>
    </row>
    <row r="15" spans="1:61" ht="15" x14ac:dyDescent="0.25">
      <c r="A15" s="1">
        <v>46091</v>
      </c>
      <c r="B15" t="s">
        <v>862</v>
      </c>
      <c r="C15" t="s">
        <v>863</v>
      </c>
      <c r="D15" s="10" t="s">
        <v>864</v>
      </c>
      <c r="E15" t="s">
        <v>865</v>
      </c>
      <c r="F15" t="s">
        <v>62</v>
      </c>
      <c r="G15" s="39"/>
      <c r="H15" s="10" t="s">
        <v>965</v>
      </c>
      <c r="I15" t="s">
        <v>866</v>
      </c>
      <c r="J15" s="54">
        <v>10000</v>
      </c>
      <c r="K15" s="4"/>
      <c r="L15" s="40">
        <v>0</v>
      </c>
      <c r="M15" s="40">
        <v>10000</v>
      </c>
      <c r="N15" s="5">
        <v>0.70599999999999996</v>
      </c>
      <c r="O15">
        <v>7060</v>
      </c>
      <c r="P15" t="s">
        <v>14</v>
      </c>
      <c r="Q15" s="6"/>
      <c r="R15" s="41">
        <v>9.2099999999999994E-3</v>
      </c>
      <c r="S15" s="42">
        <v>92.1</v>
      </c>
      <c r="T15" s="42">
        <v>500</v>
      </c>
      <c r="U15" s="43">
        <v>2.5</v>
      </c>
      <c r="V15" s="44">
        <v>46150</v>
      </c>
      <c r="W15" s="45">
        <v>46165</v>
      </c>
      <c r="X15" s="46" t="s">
        <v>66</v>
      </c>
      <c r="Y15" s="44">
        <v>46161</v>
      </c>
      <c r="Z15" s="53">
        <v>46164</v>
      </c>
      <c r="AA15" s="46" t="s">
        <v>66</v>
      </c>
      <c r="AB15" s="47">
        <v>-1</v>
      </c>
      <c r="AC15" s="1">
        <v>46164</v>
      </c>
      <c r="AD15" s="1">
        <v>46164</v>
      </c>
      <c r="AE15" s="3">
        <v>0</v>
      </c>
      <c r="AF15" s="3" t="s">
        <v>68</v>
      </c>
      <c r="AG15" s="3" t="s">
        <v>68</v>
      </c>
      <c r="AH15" s="3">
        <v>13.5</v>
      </c>
      <c r="AI15" s="3">
        <v>10.428571428571429</v>
      </c>
      <c r="AJ15"/>
      <c r="AK15" s="3" t="s">
        <v>69</v>
      </c>
      <c r="AL15" t="s">
        <v>70</v>
      </c>
      <c r="AM15" t="s">
        <v>71</v>
      </c>
      <c r="AN15" t="s">
        <v>72</v>
      </c>
      <c r="AO15" t="s">
        <v>62</v>
      </c>
      <c r="AP15" s="10"/>
      <c r="AQ15" s="1">
        <v>46139</v>
      </c>
      <c r="AR15" s="48" t="e">
        <v>#N/A</v>
      </c>
      <c r="AS15">
        <v>5665</v>
      </c>
      <c r="AT15">
        <v>200</v>
      </c>
      <c r="AU15" t="s">
        <v>867</v>
      </c>
      <c r="AV15">
        <v>1.837</v>
      </c>
      <c r="AW15">
        <v>3.63</v>
      </c>
      <c r="AX15">
        <v>800</v>
      </c>
      <c r="AY15">
        <v>36</v>
      </c>
      <c r="AZ15">
        <v>34</v>
      </c>
      <c r="BA15">
        <v>24.5</v>
      </c>
      <c r="BB15">
        <v>13</v>
      </c>
      <c r="BC15" s="3" t="s">
        <v>865</v>
      </c>
      <c r="BD15" s="16" t="s">
        <v>74</v>
      </c>
      <c r="BE15" t="s">
        <v>75</v>
      </c>
      <c r="BF15" s="49" t="e">
        <v>#N/A</v>
      </c>
      <c r="BG15" s="50" t="s">
        <v>75</v>
      </c>
      <c r="BH15" s="50" t="s">
        <v>75</v>
      </c>
      <c r="BI15" s="50" t="s">
        <v>75</v>
      </c>
    </row>
    <row r="16" spans="1:61" ht="15" x14ac:dyDescent="0.25">
      <c r="A16" s="1">
        <v>46091</v>
      </c>
      <c r="B16" t="s">
        <v>868</v>
      </c>
      <c r="C16" t="s">
        <v>572</v>
      </c>
      <c r="D16" s="10" t="s">
        <v>869</v>
      </c>
      <c r="E16" t="s">
        <v>870</v>
      </c>
      <c r="F16" t="s">
        <v>62</v>
      </c>
      <c r="G16" s="39"/>
      <c r="H16" s="10" t="s">
        <v>551</v>
      </c>
      <c r="I16" t="s">
        <v>871</v>
      </c>
      <c r="J16" s="54">
        <v>10000</v>
      </c>
      <c r="K16" s="4" t="s">
        <v>64</v>
      </c>
      <c r="L16" s="40">
        <v>0</v>
      </c>
      <c r="M16" s="40">
        <v>10000</v>
      </c>
      <c r="N16" s="5">
        <v>1.65</v>
      </c>
      <c r="O16">
        <v>16500</v>
      </c>
      <c r="P16" t="s">
        <v>65</v>
      </c>
      <c r="Q16" s="6"/>
      <c r="R16" s="41">
        <v>1.3010000000000001E-2</v>
      </c>
      <c r="S16" s="42">
        <v>130.1</v>
      </c>
      <c r="T16" s="42">
        <v>300</v>
      </c>
      <c r="U16" s="43">
        <v>4.166666666666667</v>
      </c>
      <c r="V16" s="44">
        <v>46133</v>
      </c>
      <c r="W16" s="45">
        <v>46148</v>
      </c>
      <c r="X16" s="46" t="s">
        <v>66</v>
      </c>
      <c r="Y16" s="44">
        <v>46161</v>
      </c>
      <c r="Z16" s="44">
        <v>46164</v>
      </c>
      <c r="AA16" s="46" t="s">
        <v>66</v>
      </c>
      <c r="AB16" s="47">
        <v>16</v>
      </c>
      <c r="AC16" s="1">
        <v>46164</v>
      </c>
      <c r="AD16" s="1">
        <v>46164</v>
      </c>
      <c r="AE16" s="3">
        <v>0</v>
      </c>
      <c r="AF16" s="3" t="s">
        <v>68</v>
      </c>
      <c r="AG16" s="3" t="s">
        <v>68</v>
      </c>
      <c r="AH16" s="3">
        <v>13.5</v>
      </c>
      <c r="AI16" s="3">
        <v>10.428571428571429</v>
      </c>
      <c r="AJ16"/>
      <c r="AK16" s="3" t="s">
        <v>69</v>
      </c>
      <c r="AL16" t="s">
        <v>70</v>
      </c>
      <c r="AM16" t="s">
        <v>71</v>
      </c>
      <c r="AN16" t="s">
        <v>72</v>
      </c>
      <c r="AO16" t="s">
        <v>62</v>
      </c>
      <c r="AP16" s="10"/>
      <c r="AQ16" s="1">
        <v>46141</v>
      </c>
      <c r="AR16" s="48" t="e">
        <v>#N/A</v>
      </c>
      <c r="AS16">
        <v>5664</v>
      </c>
      <c r="AT16">
        <v>100</v>
      </c>
      <c r="AU16" t="s">
        <v>872</v>
      </c>
      <c r="AV16">
        <v>4.43</v>
      </c>
      <c r="AW16">
        <v>7.46</v>
      </c>
      <c r="AX16">
        <v>1000</v>
      </c>
      <c r="AY16">
        <v>36</v>
      </c>
      <c r="AZ16">
        <v>34</v>
      </c>
      <c r="BA16">
        <v>24.5</v>
      </c>
      <c r="BB16">
        <v>10</v>
      </c>
      <c r="BC16" s="3" t="s">
        <v>870</v>
      </c>
      <c r="BD16" s="16" t="s">
        <v>74</v>
      </c>
      <c r="BE16" t="s">
        <v>75</v>
      </c>
      <c r="BF16" s="49" t="e">
        <v>#N/A</v>
      </c>
      <c r="BG16" s="50" t="s">
        <v>75</v>
      </c>
      <c r="BH16" s="50" t="s">
        <v>75</v>
      </c>
      <c r="BI16" s="50" t="s">
        <v>75</v>
      </c>
    </row>
    <row r="17" spans="1:61" ht="15" x14ac:dyDescent="0.25">
      <c r="A17" s="1">
        <v>46076</v>
      </c>
      <c r="B17" t="s">
        <v>395</v>
      </c>
      <c r="C17" t="s">
        <v>396</v>
      </c>
      <c r="D17" s="10">
        <v>132360</v>
      </c>
      <c r="E17" t="s">
        <v>588</v>
      </c>
      <c r="F17" t="s">
        <v>62</v>
      </c>
      <c r="G17" s="39"/>
      <c r="H17" s="10" t="s">
        <v>551</v>
      </c>
      <c r="I17" t="s">
        <v>589</v>
      </c>
      <c r="J17">
        <v>10000</v>
      </c>
      <c r="K17" s="4" t="s">
        <v>64</v>
      </c>
      <c r="L17" s="40">
        <v>0</v>
      </c>
      <c r="M17" s="40">
        <v>10000</v>
      </c>
      <c r="N17" s="5">
        <v>0.75900000000000001</v>
      </c>
      <c r="O17">
        <v>7590</v>
      </c>
      <c r="P17" t="s">
        <v>14</v>
      </c>
      <c r="Q17" s="6"/>
      <c r="R17" s="41">
        <v>1.7780000000000001E-2</v>
      </c>
      <c r="S17" s="42">
        <v>177.8</v>
      </c>
      <c r="T17" s="42">
        <v>320</v>
      </c>
      <c r="U17" s="43">
        <v>3.90625</v>
      </c>
      <c r="V17" s="44">
        <v>46112</v>
      </c>
      <c r="W17" s="45">
        <v>46127</v>
      </c>
      <c r="X17" s="46" t="s">
        <v>66</v>
      </c>
      <c r="Y17" s="44">
        <v>46161</v>
      </c>
      <c r="Z17" s="53">
        <v>46164</v>
      </c>
      <c r="AA17" s="46" t="s">
        <v>66</v>
      </c>
      <c r="AB17" s="47">
        <v>37</v>
      </c>
      <c r="AC17" s="1">
        <v>46157</v>
      </c>
      <c r="AD17" s="1">
        <v>46164</v>
      </c>
      <c r="AE17" s="3">
        <v>0</v>
      </c>
      <c r="AF17" s="3" t="s">
        <v>68</v>
      </c>
      <c r="AG17" s="3" t="s">
        <v>69</v>
      </c>
      <c r="AH17" s="3">
        <v>28.5</v>
      </c>
      <c r="AI17" s="3">
        <v>12.571428571428571</v>
      </c>
      <c r="AJ17"/>
      <c r="AK17" s="3" t="s">
        <v>69</v>
      </c>
      <c r="AL17" t="s">
        <v>70</v>
      </c>
      <c r="AM17"/>
      <c r="AN17" t="s">
        <v>72</v>
      </c>
      <c r="AO17" t="s">
        <v>62</v>
      </c>
      <c r="AP17" s="10"/>
      <c r="AQ17" s="1">
        <v>46104</v>
      </c>
      <c r="AR17" s="48" t="e">
        <v>#N/A</v>
      </c>
      <c r="AS17">
        <v>5262</v>
      </c>
      <c r="AT17">
        <v>300</v>
      </c>
      <c r="AU17" t="s">
        <v>590</v>
      </c>
      <c r="AV17">
        <v>2.2599999999999998</v>
      </c>
      <c r="AW17">
        <v>4.8499999999999996</v>
      </c>
      <c r="AX17">
        <v>1000</v>
      </c>
      <c r="AY17">
        <v>36</v>
      </c>
      <c r="AZ17">
        <v>34</v>
      </c>
      <c r="BA17">
        <v>24.5</v>
      </c>
      <c r="BB17">
        <v>10</v>
      </c>
      <c r="BC17" s="3" t="s">
        <v>588</v>
      </c>
      <c r="BD17" s="16" t="s">
        <v>74</v>
      </c>
      <c r="BE17" t="s">
        <v>100</v>
      </c>
      <c r="BF17" s="49" t="e">
        <v>#N/A</v>
      </c>
      <c r="BG17" s="50" t="s">
        <v>75</v>
      </c>
      <c r="BH17" s="50" t="s">
        <v>75</v>
      </c>
      <c r="BI17" s="50" t="s">
        <v>75</v>
      </c>
    </row>
    <row r="18" spans="1:61" ht="15" x14ac:dyDescent="0.25">
      <c r="A18" s="1">
        <v>46086</v>
      </c>
      <c r="B18" t="s">
        <v>700</v>
      </c>
      <c r="C18" t="s">
        <v>701</v>
      </c>
      <c r="D18" t="s">
        <v>702</v>
      </c>
      <c r="E18" t="s">
        <v>703</v>
      </c>
      <c r="F18" t="s">
        <v>62</v>
      </c>
      <c r="G18" s="39" t="s">
        <v>964</v>
      </c>
      <c r="H18" s="10" t="s">
        <v>551</v>
      </c>
      <c r="I18" t="s">
        <v>704</v>
      </c>
      <c r="J18">
        <v>500</v>
      </c>
      <c r="K18" s="4" t="s">
        <v>64</v>
      </c>
      <c r="L18" s="40">
        <v>0</v>
      </c>
      <c r="M18" s="40">
        <v>500</v>
      </c>
      <c r="N18" s="5">
        <v>6.2549999999999999</v>
      </c>
      <c r="O18">
        <v>3127.5</v>
      </c>
      <c r="P18" t="s">
        <v>65</v>
      </c>
      <c r="Q18" s="6">
        <v>7990</v>
      </c>
      <c r="R18" s="41">
        <v>1.602E-2</v>
      </c>
      <c r="S18" s="42">
        <v>8.01</v>
      </c>
      <c r="T18" s="42">
        <v>300</v>
      </c>
      <c r="U18" s="43">
        <v>0.20833333333333334</v>
      </c>
      <c r="V18" s="44">
        <v>46140</v>
      </c>
      <c r="W18" s="45">
        <v>46155</v>
      </c>
      <c r="X18" s="46" t="s">
        <v>66</v>
      </c>
      <c r="Y18" s="44">
        <v>46161</v>
      </c>
      <c r="Z18" s="44">
        <v>46164</v>
      </c>
      <c r="AA18" s="46" t="s">
        <v>66</v>
      </c>
      <c r="AB18" s="47">
        <v>9</v>
      </c>
      <c r="AC18" s="1">
        <v>46157</v>
      </c>
      <c r="AD18" s="1">
        <v>46157</v>
      </c>
      <c r="AE18" s="3">
        <v>-7</v>
      </c>
      <c r="AF18" s="3" t="s">
        <v>69</v>
      </c>
      <c r="AG18" s="3" t="s">
        <v>69</v>
      </c>
      <c r="AH18" s="3">
        <v>18.5</v>
      </c>
      <c r="AI18" s="3">
        <v>11.142857142857142</v>
      </c>
      <c r="AJ18"/>
      <c r="AK18" s="3" t="s">
        <v>69</v>
      </c>
      <c r="AL18" t="s">
        <v>70</v>
      </c>
      <c r="AM18" t="s">
        <v>71</v>
      </c>
      <c r="AN18" t="s">
        <v>72</v>
      </c>
      <c r="AO18" t="s">
        <v>62</v>
      </c>
      <c r="AP18" s="10"/>
      <c r="AQ18" s="1">
        <v>46114</v>
      </c>
      <c r="AR18" s="48" t="e">
        <v>#N/A</v>
      </c>
      <c r="AS18">
        <v>5588</v>
      </c>
      <c r="AT18">
        <v>100</v>
      </c>
      <c r="AU18" t="s">
        <v>705</v>
      </c>
      <c r="AV18">
        <v>18.600000000000001</v>
      </c>
      <c r="AW18">
        <v>12.96</v>
      </c>
      <c r="AX18">
        <v>600</v>
      </c>
      <c r="AY18">
        <v>38</v>
      </c>
      <c r="AZ18">
        <v>29.5</v>
      </c>
      <c r="BA18">
        <v>19.5</v>
      </c>
      <c r="BB18">
        <v>1</v>
      </c>
      <c r="BC18" s="3" t="s">
        <v>703</v>
      </c>
      <c r="BD18" t="s">
        <v>74</v>
      </c>
      <c r="BE18" t="s">
        <v>75</v>
      </c>
      <c r="BF18" s="49" t="e">
        <v>#N/A</v>
      </c>
      <c r="BG18" s="50" t="s">
        <v>75</v>
      </c>
      <c r="BH18" s="50" t="s">
        <v>75</v>
      </c>
      <c r="BI18" s="50" t="s">
        <v>75</v>
      </c>
    </row>
    <row r="19" spans="1:61" ht="15" x14ac:dyDescent="0.25">
      <c r="A19" s="1">
        <v>46091</v>
      </c>
      <c r="B19" t="s">
        <v>408</v>
      </c>
      <c r="C19" t="s">
        <v>409</v>
      </c>
      <c r="D19" s="10">
        <v>122486</v>
      </c>
      <c r="E19" t="s">
        <v>814</v>
      </c>
      <c r="F19" t="s">
        <v>62</v>
      </c>
      <c r="G19" s="39" t="s">
        <v>964</v>
      </c>
      <c r="H19" s="10" t="s">
        <v>571</v>
      </c>
      <c r="I19" t="s">
        <v>815</v>
      </c>
      <c r="J19">
        <v>1000</v>
      </c>
      <c r="K19" s="4">
        <v>46153</v>
      </c>
      <c r="L19" s="40">
        <v>0</v>
      </c>
      <c r="M19" s="40">
        <v>1000</v>
      </c>
      <c r="N19" s="5">
        <v>0.73499999999999999</v>
      </c>
      <c r="O19">
        <v>735</v>
      </c>
      <c r="P19" t="s">
        <v>65</v>
      </c>
      <c r="Q19" s="6">
        <v>2130</v>
      </c>
      <c r="R19" s="41">
        <v>6.11E-3</v>
      </c>
      <c r="S19" s="42">
        <v>6.11</v>
      </c>
      <c r="T19" s="42">
        <v>500</v>
      </c>
      <c r="U19" s="43">
        <v>0.25</v>
      </c>
      <c r="V19" s="44">
        <v>46126</v>
      </c>
      <c r="W19" s="45">
        <v>46141</v>
      </c>
      <c r="X19" s="46" t="s">
        <v>66</v>
      </c>
      <c r="Y19" s="44">
        <v>46161</v>
      </c>
      <c r="Z19" s="44">
        <v>46164</v>
      </c>
      <c r="AA19" s="46" t="s">
        <v>66</v>
      </c>
      <c r="AB19" s="47">
        <v>23</v>
      </c>
      <c r="AC19" s="1">
        <v>46164</v>
      </c>
      <c r="AD19" s="1">
        <v>46164</v>
      </c>
      <c r="AE19" s="3">
        <v>0</v>
      </c>
      <c r="AF19" s="3" t="s">
        <v>68</v>
      </c>
      <c r="AG19" s="3" t="s">
        <v>68</v>
      </c>
      <c r="AH19" s="3">
        <v>13.5</v>
      </c>
      <c r="AI19" s="3">
        <v>10.428571428571429</v>
      </c>
      <c r="AJ19"/>
      <c r="AK19" s="3" t="s">
        <v>69</v>
      </c>
      <c r="AL19" t="s">
        <v>70</v>
      </c>
      <c r="AM19" t="s">
        <v>71</v>
      </c>
      <c r="AN19" t="s">
        <v>72</v>
      </c>
      <c r="AO19" t="s">
        <v>62</v>
      </c>
      <c r="AP19" s="10"/>
      <c r="AQ19" s="1">
        <v>46083</v>
      </c>
      <c r="AR19" s="48" t="e">
        <v>#N/A</v>
      </c>
      <c r="AS19">
        <v>5720</v>
      </c>
      <c r="AT19">
        <v>100</v>
      </c>
      <c r="AU19" t="s">
        <v>816</v>
      </c>
      <c r="AV19">
        <v>8.91</v>
      </c>
      <c r="AW19">
        <v>8.19</v>
      </c>
      <c r="AX19">
        <v>700</v>
      </c>
      <c r="AY19">
        <v>38</v>
      </c>
      <c r="AZ19">
        <v>29.5</v>
      </c>
      <c r="BA19">
        <v>19.5</v>
      </c>
      <c r="BB19">
        <v>2</v>
      </c>
      <c r="BC19" s="3" t="s">
        <v>814</v>
      </c>
      <c r="BD19" s="16" t="s">
        <v>74</v>
      </c>
      <c r="BE19" t="s">
        <v>75</v>
      </c>
      <c r="BF19" s="49" t="e">
        <v>#N/A</v>
      </c>
      <c r="BG19" s="50" t="s">
        <v>75</v>
      </c>
      <c r="BH19" s="50" t="s">
        <v>75</v>
      </c>
      <c r="BI19" s="50" t="s">
        <v>75</v>
      </c>
    </row>
    <row r="20" spans="1:61" ht="15" x14ac:dyDescent="0.25">
      <c r="A20" s="1">
        <v>46092</v>
      </c>
      <c r="B20" t="s">
        <v>873</v>
      </c>
      <c r="C20" s="10" t="s">
        <v>874</v>
      </c>
      <c r="D20" s="10">
        <v>132364</v>
      </c>
      <c r="E20" t="s">
        <v>875</v>
      </c>
      <c r="F20" t="s">
        <v>62</v>
      </c>
      <c r="G20" s="39" t="s">
        <v>964</v>
      </c>
      <c r="H20" s="10" t="s">
        <v>571</v>
      </c>
      <c r="I20" t="s">
        <v>876</v>
      </c>
      <c r="J20" s="54">
        <v>1000</v>
      </c>
      <c r="K20" s="4">
        <v>46153</v>
      </c>
      <c r="L20" s="40">
        <v>0</v>
      </c>
      <c r="M20" s="40">
        <v>1000</v>
      </c>
      <c r="N20" s="5">
        <v>0.60099999999999998</v>
      </c>
      <c r="O20">
        <v>601</v>
      </c>
      <c r="P20" t="s">
        <v>65</v>
      </c>
      <c r="Q20" s="6">
        <v>541.20000000000005</v>
      </c>
      <c r="R20" s="41">
        <v>7.79E-3</v>
      </c>
      <c r="S20" s="42">
        <v>7.79</v>
      </c>
      <c r="T20" s="42">
        <v>400</v>
      </c>
      <c r="U20" s="43">
        <v>0.3125</v>
      </c>
      <c r="V20" s="44">
        <v>46140</v>
      </c>
      <c r="W20" s="45">
        <v>46155</v>
      </c>
      <c r="X20" s="46" t="s">
        <v>66</v>
      </c>
      <c r="Y20" s="44">
        <v>46161</v>
      </c>
      <c r="Z20" s="44">
        <v>46164</v>
      </c>
      <c r="AA20" s="46" t="s">
        <v>66</v>
      </c>
      <c r="AB20" s="47">
        <v>9</v>
      </c>
      <c r="AC20" s="1">
        <v>46164</v>
      </c>
      <c r="AD20" s="1">
        <v>46164</v>
      </c>
      <c r="AE20" s="3">
        <v>0</v>
      </c>
      <c r="AF20" s="3" t="s">
        <v>68</v>
      </c>
      <c r="AG20" s="3" t="s">
        <v>68</v>
      </c>
      <c r="AH20" s="3">
        <v>12.5</v>
      </c>
      <c r="AI20" s="3">
        <v>10.285714285714286</v>
      </c>
      <c r="AJ20"/>
      <c r="AK20" s="3" t="s">
        <v>69</v>
      </c>
      <c r="AL20" t="s">
        <v>70</v>
      </c>
      <c r="AM20" t="s">
        <v>71</v>
      </c>
      <c r="AN20" t="s">
        <v>72</v>
      </c>
      <c r="AO20"/>
      <c r="AP20" s="10"/>
      <c r="AQ20" s="1">
        <v>46120</v>
      </c>
      <c r="AR20" s="48" t="e">
        <v>#N/A</v>
      </c>
      <c r="AS20">
        <v>5789</v>
      </c>
      <c r="AT20">
        <v>100</v>
      </c>
      <c r="AU20" t="s">
        <v>877</v>
      </c>
      <c r="AV20">
        <v>2.64</v>
      </c>
      <c r="AW20">
        <v>4.74</v>
      </c>
      <c r="AX20">
        <v>1000</v>
      </c>
      <c r="AY20">
        <v>38</v>
      </c>
      <c r="AZ20">
        <v>29.5</v>
      </c>
      <c r="BA20">
        <v>19.5</v>
      </c>
      <c r="BB20">
        <v>1</v>
      </c>
      <c r="BC20" s="3" t="s">
        <v>875</v>
      </c>
      <c r="BD20" s="16" t="s">
        <v>74</v>
      </c>
      <c r="BE20" t="s">
        <v>75</v>
      </c>
      <c r="BF20" s="49" t="e">
        <v>#N/A</v>
      </c>
      <c r="BG20" s="50" t="s">
        <v>75</v>
      </c>
      <c r="BH20" s="50" t="s">
        <v>75</v>
      </c>
      <c r="BI20" s="50" t="s">
        <v>75</v>
      </c>
    </row>
    <row r="21" spans="1:61" ht="15" x14ac:dyDescent="0.25">
      <c r="A21" s="1">
        <v>46092</v>
      </c>
      <c r="B21" t="s">
        <v>217</v>
      </c>
      <c r="C21" s="10" t="s">
        <v>218</v>
      </c>
      <c r="D21" s="10">
        <v>262101</v>
      </c>
      <c r="E21" t="s">
        <v>878</v>
      </c>
      <c r="F21" t="s">
        <v>62</v>
      </c>
      <c r="G21" s="39" t="s">
        <v>964</v>
      </c>
      <c r="H21" s="10" t="s">
        <v>571</v>
      </c>
      <c r="I21" t="s">
        <v>879</v>
      </c>
      <c r="J21" s="54">
        <v>4000</v>
      </c>
      <c r="K21" s="4">
        <v>46153</v>
      </c>
      <c r="L21" s="40">
        <v>0</v>
      </c>
      <c r="M21" s="40">
        <v>4000</v>
      </c>
      <c r="N21" s="5">
        <v>0.55300000000000005</v>
      </c>
      <c r="O21">
        <v>2212</v>
      </c>
      <c r="P21" t="s">
        <v>65</v>
      </c>
      <c r="Q21" s="6">
        <v>5100</v>
      </c>
      <c r="R21" s="41">
        <v>9.1699999999999993E-3</v>
      </c>
      <c r="S21" s="42">
        <v>36.68</v>
      </c>
      <c r="T21" s="42">
        <v>360</v>
      </c>
      <c r="U21" s="43">
        <v>1.3888888888888888</v>
      </c>
      <c r="V21" s="44">
        <v>46140</v>
      </c>
      <c r="W21" s="45">
        <v>46155</v>
      </c>
      <c r="X21" s="46" t="s">
        <v>66</v>
      </c>
      <c r="Y21" s="44">
        <v>46161</v>
      </c>
      <c r="Z21" s="44">
        <v>46164</v>
      </c>
      <c r="AA21" s="46" t="s">
        <v>66</v>
      </c>
      <c r="AB21" s="47">
        <v>9</v>
      </c>
      <c r="AC21" s="1">
        <v>46164</v>
      </c>
      <c r="AD21" s="1">
        <v>46171</v>
      </c>
      <c r="AE21" s="3">
        <v>7</v>
      </c>
      <c r="AF21" s="3" t="s">
        <v>68</v>
      </c>
      <c r="AG21" s="3" t="s">
        <v>68</v>
      </c>
      <c r="AH21" s="3">
        <v>12.5</v>
      </c>
      <c r="AI21" s="3">
        <v>10.285714285714286</v>
      </c>
      <c r="AJ21"/>
      <c r="AK21" s="3" t="s">
        <v>69</v>
      </c>
      <c r="AL21" t="s">
        <v>70</v>
      </c>
      <c r="AM21" t="s">
        <v>71</v>
      </c>
      <c r="AN21" t="s">
        <v>72</v>
      </c>
      <c r="AO21"/>
      <c r="AP21" s="10"/>
      <c r="AQ21" s="1">
        <v>46120</v>
      </c>
      <c r="AR21" s="48" t="e">
        <v>#N/A</v>
      </c>
      <c r="AS21">
        <v>5765</v>
      </c>
      <c r="AT21">
        <v>100</v>
      </c>
      <c r="AU21" t="s">
        <v>880</v>
      </c>
      <c r="AV21">
        <v>0.62</v>
      </c>
      <c r="AW21">
        <v>3.18</v>
      </c>
      <c r="AX21">
        <v>1000</v>
      </c>
      <c r="AY21">
        <v>38</v>
      </c>
      <c r="AZ21">
        <v>29.5</v>
      </c>
      <c r="BA21">
        <v>19.5</v>
      </c>
      <c r="BB21">
        <v>4</v>
      </c>
      <c r="BC21" s="3" t="s">
        <v>878</v>
      </c>
      <c r="BD21" s="16" t="s">
        <v>74</v>
      </c>
      <c r="BE21" t="s">
        <v>75</v>
      </c>
      <c r="BF21" s="49" t="e">
        <v>#N/A</v>
      </c>
      <c r="BG21" s="50" t="s">
        <v>75</v>
      </c>
      <c r="BH21" s="50" t="s">
        <v>75</v>
      </c>
      <c r="BI21" s="50" t="s">
        <v>75</v>
      </c>
    </row>
    <row r="22" spans="1:61" ht="15" x14ac:dyDescent="0.25">
      <c r="A22" s="1">
        <v>46092</v>
      </c>
      <c r="B22" t="s">
        <v>881</v>
      </c>
      <c r="C22" s="10" t="s">
        <v>882</v>
      </c>
      <c r="D22" s="10" t="s">
        <v>882</v>
      </c>
      <c r="E22" t="s">
        <v>883</v>
      </c>
      <c r="F22" t="s">
        <v>62</v>
      </c>
      <c r="G22" s="39" t="s">
        <v>964</v>
      </c>
      <c r="H22" s="10" t="s">
        <v>571</v>
      </c>
      <c r="I22" t="s">
        <v>884</v>
      </c>
      <c r="J22" s="54">
        <v>2000</v>
      </c>
      <c r="K22" s="4">
        <v>46153</v>
      </c>
      <c r="L22" s="40">
        <v>0</v>
      </c>
      <c r="M22" s="40">
        <v>2000</v>
      </c>
      <c r="N22" s="5">
        <v>1.37</v>
      </c>
      <c r="O22">
        <v>2740</v>
      </c>
      <c r="P22" t="s">
        <v>65</v>
      </c>
      <c r="Q22" s="6">
        <v>8227.5300000000007</v>
      </c>
      <c r="R22" s="41">
        <v>1.133E-2</v>
      </c>
      <c r="S22" s="42">
        <v>22.66</v>
      </c>
      <c r="T22" s="42">
        <v>450</v>
      </c>
      <c r="U22" s="43">
        <v>0.55555555555555558</v>
      </c>
      <c r="V22" s="44">
        <v>46140</v>
      </c>
      <c r="W22" s="45">
        <v>46155</v>
      </c>
      <c r="X22" s="46" t="s">
        <v>66</v>
      </c>
      <c r="Y22" s="44">
        <v>46161</v>
      </c>
      <c r="Z22" s="44">
        <v>46164</v>
      </c>
      <c r="AA22" s="46" t="s">
        <v>66</v>
      </c>
      <c r="AB22" s="47">
        <v>9</v>
      </c>
      <c r="AC22" s="1">
        <v>46171</v>
      </c>
      <c r="AD22" s="1">
        <v>46171</v>
      </c>
      <c r="AE22" s="3">
        <v>7</v>
      </c>
      <c r="AF22" s="3" t="s">
        <v>68</v>
      </c>
      <c r="AG22" s="3" t="s">
        <v>68</v>
      </c>
      <c r="AH22" s="3">
        <v>12.5</v>
      </c>
      <c r="AI22" s="3">
        <v>10.285714285714286</v>
      </c>
      <c r="AJ22"/>
      <c r="AK22" s="3" t="s">
        <v>69</v>
      </c>
      <c r="AL22" t="s">
        <v>70</v>
      </c>
      <c r="AM22" t="s">
        <v>71</v>
      </c>
      <c r="AN22" t="s">
        <v>72</v>
      </c>
      <c r="AO22"/>
      <c r="AP22" s="10"/>
      <c r="AQ22" s="1">
        <v>46120</v>
      </c>
      <c r="AR22" s="48" t="e">
        <v>#N/A</v>
      </c>
      <c r="AS22">
        <v>5762</v>
      </c>
      <c r="AT22">
        <v>100</v>
      </c>
      <c r="AU22" t="s">
        <v>885</v>
      </c>
      <c r="AV22">
        <v>3.09</v>
      </c>
      <c r="AW22">
        <v>5.3</v>
      </c>
      <c r="AX22">
        <v>1000</v>
      </c>
      <c r="AY22">
        <v>38</v>
      </c>
      <c r="AZ22">
        <v>29.5</v>
      </c>
      <c r="BA22">
        <v>19.5</v>
      </c>
      <c r="BB22">
        <v>2</v>
      </c>
      <c r="BC22" s="3" t="s">
        <v>883</v>
      </c>
      <c r="BD22" s="16" t="s">
        <v>74</v>
      </c>
      <c r="BE22" t="s">
        <v>75</v>
      </c>
      <c r="BF22" s="49" t="e">
        <v>#N/A</v>
      </c>
      <c r="BG22" s="50" t="s">
        <v>75</v>
      </c>
      <c r="BH22" s="50" t="s">
        <v>75</v>
      </c>
      <c r="BI22" s="50" t="s">
        <v>75</v>
      </c>
    </row>
    <row r="23" spans="1:61" ht="15" x14ac:dyDescent="0.25">
      <c r="A23" s="1">
        <v>46092</v>
      </c>
      <c r="B23" t="s">
        <v>886</v>
      </c>
      <c r="C23" s="10" t="s">
        <v>887</v>
      </c>
      <c r="D23" s="10" t="s">
        <v>888</v>
      </c>
      <c r="E23" t="s">
        <v>889</v>
      </c>
      <c r="F23" t="s">
        <v>62</v>
      </c>
      <c r="G23" s="39" t="s">
        <v>964</v>
      </c>
      <c r="H23" s="10" t="s">
        <v>571</v>
      </c>
      <c r="I23" t="s">
        <v>890</v>
      </c>
      <c r="J23" s="54">
        <v>1000</v>
      </c>
      <c r="K23" s="4">
        <v>46153</v>
      </c>
      <c r="L23" s="40">
        <v>0</v>
      </c>
      <c r="M23" s="40">
        <v>1000</v>
      </c>
      <c r="N23" s="5">
        <v>0.42399999999999999</v>
      </c>
      <c r="O23">
        <v>424</v>
      </c>
      <c r="P23" t="s">
        <v>65</v>
      </c>
      <c r="Q23" s="6">
        <v>8520</v>
      </c>
      <c r="R23" s="41">
        <v>8.6E-3</v>
      </c>
      <c r="S23" s="42">
        <v>8.6</v>
      </c>
      <c r="T23" s="42">
        <v>360</v>
      </c>
      <c r="U23" s="43">
        <v>0.34722222222222221</v>
      </c>
      <c r="V23" s="44">
        <v>46140</v>
      </c>
      <c r="W23" s="45">
        <v>46155</v>
      </c>
      <c r="X23" s="46" t="s">
        <v>66</v>
      </c>
      <c r="Y23" s="44">
        <v>46161</v>
      </c>
      <c r="Z23" s="44">
        <v>46164</v>
      </c>
      <c r="AA23" s="46" t="s">
        <v>66</v>
      </c>
      <c r="AB23" s="47">
        <v>9</v>
      </c>
      <c r="AC23" s="1">
        <v>46164</v>
      </c>
      <c r="AD23" s="1">
        <v>46164</v>
      </c>
      <c r="AE23" s="3">
        <v>0</v>
      </c>
      <c r="AF23" s="3" t="s">
        <v>68</v>
      </c>
      <c r="AG23" s="3" t="s">
        <v>68</v>
      </c>
      <c r="AH23" s="3">
        <v>12.5</v>
      </c>
      <c r="AI23" s="3">
        <v>10.285714285714286</v>
      </c>
      <c r="AJ23"/>
      <c r="AK23" s="3" t="s">
        <v>69</v>
      </c>
      <c r="AL23" t="s">
        <v>70</v>
      </c>
      <c r="AM23" t="s">
        <v>71</v>
      </c>
      <c r="AN23" t="s">
        <v>72</v>
      </c>
      <c r="AO23"/>
      <c r="AP23" s="10"/>
      <c r="AQ23" s="1">
        <v>46120</v>
      </c>
      <c r="AR23" s="48" t="e">
        <v>#N/A</v>
      </c>
      <c r="AS23">
        <v>5752</v>
      </c>
      <c r="AT23">
        <v>100</v>
      </c>
      <c r="AU23" t="s">
        <v>891</v>
      </c>
      <c r="AV23">
        <v>0.26</v>
      </c>
      <c r="AW23">
        <v>2.7368000000000001</v>
      </c>
      <c r="AX23">
        <v>4000</v>
      </c>
      <c r="AY23">
        <v>30</v>
      </c>
      <c r="AZ23">
        <v>23</v>
      </c>
      <c r="BA23">
        <v>31</v>
      </c>
      <c r="BB23">
        <v>1</v>
      </c>
      <c r="BC23" s="3" t="s">
        <v>889</v>
      </c>
      <c r="BD23" s="16" t="s">
        <v>445</v>
      </c>
      <c r="BE23" t="s">
        <v>75</v>
      </c>
      <c r="BF23" s="49" t="e">
        <v>#N/A</v>
      </c>
      <c r="BG23" s="50" t="s">
        <v>75</v>
      </c>
      <c r="BH23" s="50" t="s">
        <v>75</v>
      </c>
      <c r="BI23" s="50" t="s">
        <v>75</v>
      </c>
    </row>
    <row r="24" spans="1:61" ht="15" x14ac:dyDescent="0.25">
      <c r="A24" s="1">
        <v>46092</v>
      </c>
      <c r="B24" t="s">
        <v>892</v>
      </c>
      <c r="C24" s="10" t="s">
        <v>893</v>
      </c>
      <c r="D24" s="10">
        <v>172203</v>
      </c>
      <c r="E24" t="s">
        <v>894</v>
      </c>
      <c r="F24" t="s">
        <v>62</v>
      </c>
      <c r="G24" s="39" t="s">
        <v>964</v>
      </c>
      <c r="H24" s="10" t="s">
        <v>571</v>
      </c>
      <c r="I24" t="s">
        <v>895</v>
      </c>
      <c r="J24" s="54">
        <v>1000</v>
      </c>
      <c r="K24" s="4">
        <v>46153</v>
      </c>
      <c r="L24" s="40">
        <v>0</v>
      </c>
      <c r="M24" s="40">
        <v>1000</v>
      </c>
      <c r="N24" s="5">
        <v>2.6640000000000001</v>
      </c>
      <c r="O24">
        <v>2664</v>
      </c>
      <c r="P24" t="s">
        <v>65</v>
      </c>
      <c r="Q24" s="6">
        <v>505</v>
      </c>
      <c r="R24" s="41">
        <v>8.0499999999999999E-3</v>
      </c>
      <c r="S24" s="42">
        <v>8.0500000000000007</v>
      </c>
      <c r="T24" s="42">
        <v>370</v>
      </c>
      <c r="U24" s="43">
        <v>0.33783783783783783</v>
      </c>
      <c r="V24" s="44">
        <v>46140</v>
      </c>
      <c r="W24" s="45">
        <v>46155</v>
      </c>
      <c r="X24" s="46" t="s">
        <v>66</v>
      </c>
      <c r="Y24" s="44">
        <v>46161</v>
      </c>
      <c r="Z24" s="44">
        <v>46164</v>
      </c>
      <c r="AA24" s="46" t="s">
        <v>66</v>
      </c>
      <c r="AB24" s="47">
        <v>9</v>
      </c>
      <c r="AC24" s="1">
        <v>46185</v>
      </c>
      <c r="AD24" s="1">
        <v>46185</v>
      </c>
      <c r="AE24" s="3">
        <v>21</v>
      </c>
      <c r="AF24" s="3" t="s">
        <v>68</v>
      </c>
      <c r="AG24" s="3" t="s">
        <v>68</v>
      </c>
      <c r="AH24" s="3">
        <v>12.5</v>
      </c>
      <c r="AI24" s="3">
        <v>10.285714285714286</v>
      </c>
      <c r="AJ24"/>
      <c r="AK24" s="3" t="s">
        <v>69</v>
      </c>
      <c r="AL24" t="s">
        <v>70</v>
      </c>
      <c r="AM24" t="s">
        <v>71</v>
      </c>
      <c r="AN24" t="s">
        <v>72</v>
      </c>
      <c r="AO24"/>
      <c r="AP24" s="10" t="s">
        <v>981</v>
      </c>
      <c r="AQ24" s="1">
        <v>46120</v>
      </c>
      <c r="AR24" s="48" t="e">
        <v>#N/A</v>
      </c>
      <c r="AS24">
        <v>5746</v>
      </c>
      <c r="AT24">
        <v>100</v>
      </c>
      <c r="AU24" t="s">
        <v>896</v>
      </c>
      <c r="AV24">
        <v>32.274999999999999</v>
      </c>
      <c r="AW24">
        <v>8.91</v>
      </c>
      <c r="AX24">
        <v>250</v>
      </c>
      <c r="AY24">
        <v>29</v>
      </c>
      <c r="AZ24">
        <v>22</v>
      </c>
      <c r="BA24">
        <v>17.5</v>
      </c>
      <c r="BB24">
        <v>4</v>
      </c>
      <c r="BC24" s="3" t="s">
        <v>894</v>
      </c>
      <c r="BD24" s="16" t="s">
        <v>897</v>
      </c>
      <c r="BE24" t="s">
        <v>75</v>
      </c>
      <c r="BF24" s="49" t="e">
        <v>#N/A</v>
      </c>
      <c r="BG24" s="50" t="s">
        <v>75</v>
      </c>
      <c r="BH24" s="50" t="s">
        <v>75</v>
      </c>
      <c r="BI24" s="50" t="s">
        <v>75</v>
      </c>
    </row>
    <row r="25" spans="1:61" ht="15" x14ac:dyDescent="0.25">
      <c r="A25" s="1">
        <v>46094</v>
      </c>
      <c r="B25" t="s">
        <v>924</v>
      </c>
      <c r="C25" t="s">
        <v>925</v>
      </c>
      <c r="D25">
        <v>112586</v>
      </c>
      <c r="E25" t="s">
        <v>926</v>
      </c>
      <c r="F25" t="s">
        <v>62</v>
      </c>
      <c r="G25" s="39" t="s">
        <v>964</v>
      </c>
      <c r="H25" s="10" t="s">
        <v>571</v>
      </c>
      <c r="I25" t="s">
        <v>927</v>
      </c>
      <c r="J25">
        <v>1000</v>
      </c>
      <c r="K25" s="4">
        <v>46153</v>
      </c>
      <c r="L25" s="40">
        <v>0</v>
      </c>
      <c r="M25" s="40">
        <v>1000</v>
      </c>
      <c r="N25">
        <v>0.76100000000000001</v>
      </c>
      <c r="O25">
        <v>761</v>
      </c>
      <c r="P25" t="s">
        <v>65</v>
      </c>
      <c r="Q25" s="6">
        <v>750.88</v>
      </c>
      <c r="R25" s="41">
        <v>4.2500000000000003E-3</v>
      </c>
      <c r="S25" s="42">
        <v>4.25</v>
      </c>
      <c r="T25" s="42">
        <v>500</v>
      </c>
      <c r="U25" s="43">
        <v>0.25</v>
      </c>
      <c r="V25" s="44">
        <v>46140</v>
      </c>
      <c r="W25" s="45">
        <v>46155</v>
      </c>
      <c r="X25" s="46" t="s">
        <v>66</v>
      </c>
      <c r="Y25" s="44">
        <v>46161</v>
      </c>
      <c r="Z25" s="44">
        <v>46164</v>
      </c>
      <c r="AA25" s="46" t="s">
        <v>66</v>
      </c>
      <c r="AB25" s="47">
        <v>9</v>
      </c>
      <c r="AC25" s="1">
        <v>46192</v>
      </c>
      <c r="AD25" s="1">
        <v>46192</v>
      </c>
      <c r="AE25" s="3">
        <v>28</v>
      </c>
      <c r="AF25" s="3" t="s">
        <v>68</v>
      </c>
      <c r="AG25" s="3" t="s">
        <v>68</v>
      </c>
      <c r="AH25" s="3">
        <v>10.5</v>
      </c>
      <c r="AI25" s="3">
        <v>10</v>
      </c>
      <c r="AJ25"/>
      <c r="AK25" t="s">
        <v>68</v>
      </c>
      <c r="AL25" t="s">
        <v>70</v>
      </c>
      <c r="AM25" t="s">
        <v>71</v>
      </c>
      <c r="AN25" t="s">
        <v>72</v>
      </c>
      <c r="AO25"/>
      <c r="AP25" s="10"/>
      <c r="AQ25" s="1">
        <v>46122</v>
      </c>
      <c r="AR25" s="48" t="e">
        <v>#N/A</v>
      </c>
      <c r="AS25">
        <v>5815</v>
      </c>
      <c r="AT25">
        <v>100</v>
      </c>
      <c r="AU25" t="s">
        <v>928</v>
      </c>
      <c r="AV25">
        <v>4.3680000000000003</v>
      </c>
      <c r="AW25">
        <v>8.34</v>
      </c>
      <c r="AX25">
        <v>1600</v>
      </c>
      <c r="AY25">
        <v>30</v>
      </c>
      <c r="AZ25">
        <v>23</v>
      </c>
      <c r="BA25">
        <v>31</v>
      </c>
      <c r="BB25">
        <v>1</v>
      </c>
      <c r="BC25" s="3" t="s">
        <v>926</v>
      </c>
      <c r="BD25" t="s">
        <v>929</v>
      </c>
      <c r="BE25" t="s">
        <v>75</v>
      </c>
      <c r="BF25" s="49" t="e">
        <v>#N/A</v>
      </c>
      <c r="BG25" s="50" t="s">
        <v>75</v>
      </c>
      <c r="BH25" s="50" t="s">
        <v>75</v>
      </c>
      <c r="BI25" s="50" t="s">
        <v>75</v>
      </c>
    </row>
    <row r="26" spans="1:61" ht="15" x14ac:dyDescent="0.25">
      <c r="A26" s="1">
        <v>46102</v>
      </c>
      <c r="B26" t="s">
        <v>930</v>
      </c>
      <c r="C26" s="10" t="s">
        <v>931</v>
      </c>
      <c r="D26" s="10">
        <v>122372</v>
      </c>
      <c r="E26" t="s">
        <v>932</v>
      </c>
      <c r="F26" t="s">
        <v>62</v>
      </c>
      <c r="G26" s="39" t="s">
        <v>964</v>
      </c>
      <c r="H26" s="10" t="s">
        <v>551</v>
      </c>
      <c r="I26" t="s">
        <v>933</v>
      </c>
      <c r="J26" s="54">
        <v>5000</v>
      </c>
      <c r="K26" s="4" t="s">
        <v>64</v>
      </c>
      <c r="L26" s="40">
        <v>0</v>
      </c>
      <c r="M26" s="40">
        <v>5000</v>
      </c>
      <c r="N26" s="5">
        <v>0.91200000000000003</v>
      </c>
      <c r="O26">
        <v>4560</v>
      </c>
      <c r="P26" t="s">
        <v>65</v>
      </c>
      <c r="Q26" s="6">
        <v>5750</v>
      </c>
      <c r="R26" s="41">
        <v>9.4400000000000005E-3</v>
      </c>
      <c r="S26" s="42">
        <v>47.2</v>
      </c>
      <c r="T26" s="42">
        <v>500</v>
      </c>
      <c r="U26" s="43">
        <v>1.25</v>
      </c>
      <c r="V26" s="44">
        <v>46140</v>
      </c>
      <c r="W26" s="45">
        <v>46155</v>
      </c>
      <c r="X26" s="46" t="s">
        <v>66</v>
      </c>
      <c r="Y26" s="44">
        <v>46161</v>
      </c>
      <c r="Z26" s="44">
        <v>46164</v>
      </c>
      <c r="AA26" s="46" t="s">
        <v>66</v>
      </c>
      <c r="AB26" s="47">
        <v>9</v>
      </c>
      <c r="AC26" s="1">
        <v>46171</v>
      </c>
      <c r="AD26" s="1">
        <v>46192</v>
      </c>
      <c r="AE26" s="3">
        <v>28</v>
      </c>
      <c r="AF26" s="3" t="s">
        <v>68</v>
      </c>
      <c r="AG26" s="3" t="s">
        <v>68</v>
      </c>
      <c r="AH26" s="3">
        <v>2.5</v>
      </c>
      <c r="AI26" s="3">
        <v>8.8571428571428577</v>
      </c>
      <c r="AJ26"/>
      <c r="AK26" s="3" t="s">
        <v>69</v>
      </c>
      <c r="AL26" t="s">
        <v>70</v>
      </c>
      <c r="AM26" t="s">
        <v>71</v>
      </c>
      <c r="AN26" t="s">
        <v>72</v>
      </c>
      <c r="AO26"/>
      <c r="AP26" s="10"/>
      <c r="AQ26" s="1">
        <v>46130</v>
      </c>
      <c r="AR26" s="48" t="e">
        <v>#N/A</v>
      </c>
      <c r="AS26">
        <v>5933</v>
      </c>
      <c r="AT26">
        <v>100</v>
      </c>
      <c r="AU26" t="s">
        <v>934</v>
      </c>
      <c r="AV26">
        <v>0</v>
      </c>
      <c r="AW26">
        <v>0</v>
      </c>
      <c r="AX26">
        <v>800</v>
      </c>
      <c r="AY26">
        <v>36</v>
      </c>
      <c r="AZ26">
        <v>34</v>
      </c>
      <c r="BA26">
        <v>24.5</v>
      </c>
      <c r="BB26">
        <v>7</v>
      </c>
      <c r="BC26" s="3" t="s">
        <v>932</v>
      </c>
      <c r="BD26" s="16" t="s">
        <v>74</v>
      </c>
      <c r="BE26" t="s">
        <v>75</v>
      </c>
      <c r="BF26" s="49" t="e">
        <v>#N/A</v>
      </c>
      <c r="BG26" s="50" t="s">
        <v>75</v>
      </c>
      <c r="BH26" s="50" t="s">
        <v>75</v>
      </c>
      <c r="BI26" s="50" t="s">
        <v>75</v>
      </c>
    </row>
    <row r="27" spans="1:61" ht="15" x14ac:dyDescent="0.25">
      <c r="A27" s="1">
        <v>46034</v>
      </c>
      <c r="B27" t="s">
        <v>941</v>
      </c>
      <c r="C27" s="10" t="s">
        <v>942</v>
      </c>
      <c r="D27" s="10">
        <v>152135</v>
      </c>
      <c r="E27" t="s">
        <v>943</v>
      </c>
      <c r="F27" t="s">
        <v>62</v>
      </c>
      <c r="G27" s="39" t="s">
        <v>964</v>
      </c>
      <c r="H27" s="10" t="s">
        <v>965</v>
      </c>
      <c r="I27" t="s">
        <v>944</v>
      </c>
      <c r="J27" s="54">
        <v>22</v>
      </c>
      <c r="K27" s="10"/>
      <c r="L27" s="40">
        <v>0</v>
      </c>
      <c r="M27" s="40">
        <v>22</v>
      </c>
      <c r="N27" s="5">
        <v>0.77300000000000002</v>
      </c>
      <c r="O27">
        <v>17.010000000000002</v>
      </c>
      <c r="P27" t="s">
        <v>14</v>
      </c>
      <c r="Q27" s="6">
        <v>167.4</v>
      </c>
      <c r="R27" s="41">
        <v>1.157E-2</v>
      </c>
      <c r="S27" s="42">
        <v>0.25453999999999999</v>
      </c>
      <c r="T27" s="42">
        <v>400</v>
      </c>
      <c r="U27" s="43">
        <v>6.875E-3</v>
      </c>
      <c r="V27" s="44">
        <v>46150</v>
      </c>
      <c r="W27" s="45">
        <v>46165</v>
      </c>
      <c r="X27" s="46" t="s">
        <v>66</v>
      </c>
      <c r="Y27" s="44">
        <v>46161</v>
      </c>
      <c r="Z27" s="44">
        <v>46164</v>
      </c>
      <c r="AA27" s="46" t="s">
        <v>66</v>
      </c>
      <c r="AB27" s="47">
        <v>-1</v>
      </c>
      <c r="AC27" s="1">
        <v>46164</v>
      </c>
      <c r="AD27" s="1">
        <v>46164</v>
      </c>
      <c r="AE27" s="3">
        <v>0</v>
      </c>
      <c r="AF27" s="3" t="s">
        <v>68</v>
      </c>
      <c r="AG27" s="3" t="s">
        <v>68</v>
      </c>
      <c r="AH27" s="3">
        <v>70.5</v>
      </c>
      <c r="AI27" s="3">
        <v>18.571428571428573</v>
      </c>
      <c r="AJ27"/>
      <c r="AK27" t="s">
        <v>68</v>
      </c>
      <c r="AL27" t="s">
        <v>70</v>
      </c>
      <c r="AM27" t="s">
        <v>71</v>
      </c>
      <c r="AN27" t="s">
        <v>72</v>
      </c>
      <c r="AO27"/>
      <c r="AP27" s="10" t="s">
        <v>455</v>
      </c>
      <c r="AQ27" s="10">
        <v>46062</v>
      </c>
      <c r="AR27" s="15" t="e">
        <v>#N/A</v>
      </c>
      <c r="AS27">
        <v>4741</v>
      </c>
      <c r="AT27">
        <v>100</v>
      </c>
      <c r="AU27" t="s">
        <v>945</v>
      </c>
      <c r="AV27">
        <v>1.42</v>
      </c>
      <c r="AW27">
        <v>3.96</v>
      </c>
      <c r="AX27">
        <v>1000</v>
      </c>
      <c r="AY27">
        <v>38</v>
      </c>
      <c r="AZ27">
        <v>29.5</v>
      </c>
      <c r="BA27">
        <v>19.5</v>
      </c>
      <c r="BB27">
        <v>1</v>
      </c>
      <c r="BC27" t="s">
        <v>943</v>
      </c>
      <c r="BD27" t="s">
        <v>946</v>
      </c>
      <c r="BE27" t="s">
        <v>75</v>
      </c>
      <c r="BF27" s="49" t="e">
        <v>#N/A</v>
      </c>
      <c r="BG27" s="50" t="s">
        <v>75</v>
      </c>
      <c r="BH27" s="50" t="s">
        <v>75</v>
      </c>
      <c r="BI27" s="50" t="s">
        <v>75</v>
      </c>
    </row>
    <row r="28" spans="1:61" ht="15" x14ac:dyDescent="0.25">
      <c r="A28" s="1">
        <v>46076</v>
      </c>
      <c r="B28" t="s">
        <v>179</v>
      </c>
      <c r="C28">
        <v>36775</v>
      </c>
      <c r="D28" s="10" t="s">
        <v>180</v>
      </c>
      <c r="E28" t="s">
        <v>181</v>
      </c>
      <c r="F28" t="s">
        <v>62</v>
      </c>
      <c r="G28" s="39"/>
      <c r="H28" s="10" t="s">
        <v>551</v>
      </c>
      <c r="I28" t="s">
        <v>593</v>
      </c>
      <c r="J28">
        <v>3000</v>
      </c>
      <c r="K28" s="4" t="s">
        <v>64</v>
      </c>
      <c r="L28" s="40">
        <v>0</v>
      </c>
      <c r="M28" s="40">
        <v>3000</v>
      </c>
      <c r="N28" s="5">
        <v>1.427</v>
      </c>
      <c r="O28">
        <v>4281</v>
      </c>
      <c r="P28" t="s">
        <v>14</v>
      </c>
      <c r="Q28" s="6"/>
      <c r="R28" s="41">
        <v>1.472E-2</v>
      </c>
      <c r="S28" s="42">
        <v>44.160000000000004</v>
      </c>
      <c r="T28" s="42">
        <v>400</v>
      </c>
      <c r="U28" s="43">
        <v>0.9375</v>
      </c>
      <c r="V28" s="44">
        <v>46126</v>
      </c>
      <c r="W28" s="45">
        <v>46141</v>
      </c>
      <c r="X28" s="46" t="s">
        <v>66</v>
      </c>
      <c r="Y28" s="44">
        <v>46161</v>
      </c>
      <c r="Z28" s="53">
        <v>46164</v>
      </c>
      <c r="AA28" s="46" t="s">
        <v>66</v>
      </c>
      <c r="AB28" s="47">
        <v>23</v>
      </c>
      <c r="AC28" s="1">
        <v>46171</v>
      </c>
      <c r="AD28" s="1">
        <v>46171</v>
      </c>
      <c r="AE28" s="3">
        <v>7</v>
      </c>
      <c r="AF28" s="3" t="s">
        <v>68</v>
      </c>
      <c r="AG28" s="3" t="s">
        <v>68</v>
      </c>
      <c r="AH28" s="3">
        <v>28.5</v>
      </c>
      <c r="AI28" s="3">
        <v>12.571428571428571</v>
      </c>
      <c r="AJ28"/>
      <c r="AK28" s="3" t="s">
        <v>69</v>
      </c>
      <c r="AL28" t="s">
        <v>70</v>
      </c>
      <c r="AM28" t="s">
        <v>71</v>
      </c>
      <c r="AN28" t="s">
        <v>72</v>
      </c>
      <c r="AO28" t="s">
        <v>62</v>
      </c>
      <c r="AP28" s="10"/>
      <c r="AQ28" s="1">
        <v>46104</v>
      </c>
      <c r="AR28" s="48" t="e">
        <v>#N/A</v>
      </c>
      <c r="AS28">
        <v>5259</v>
      </c>
      <c r="AT28">
        <v>500</v>
      </c>
      <c r="AU28" t="s">
        <v>594</v>
      </c>
      <c r="AV28">
        <v>9.44</v>
      </c>
      <c r="AW28">
        <v>10.19</v>
      </c>
      <c r="AX28">
        <v>800</v>
      </c>
      <c r="AY28">
        <v>36</v>
      </c>
      <c r="AZ28">
        <v>34</v>
      </c>
      <c r="BA28">
        <v>24.5</v>
      </c>
      <c r="BB28">
        <v>4</v>
      </c>
      <c r="BC28" s="3" t="s">
        <v>181</v>
      </c>
      <c r="BD28" s="16" t="s">
        <v>74</v>
      </c>
      <c r="BE28" t="s">
        <v>75</v>
      </c>
      <c r="BF28" s="49" t="e">
        <v>#N/A</v>
      </c>
      <c r="BG28" s="50" t="s">
        <v>75</v>
      </c>
      <c r="BH28" s="50">
        <v>36775</v>
      </c>
      <c r="BI28" s="50" t="s">
        <v>75</v>
      </c>
    </row>
    <row r="29" spans="1:61" ht="15" x14ac:dyDescent="0.25">
      <c r="A29" s="1">
        <v>46079</v>
      </c>
      <c r="B29" t="s">
        <v>618</v>
      </c>
      <c r="C29" t="s">
        <v>619</v>
      </c>
      <c r="D29" t="s">
        <v>620</v>
      </c>
      <c r="E29" t="s">
        <v>621</v>
      </c>
      <c r="F29" t="s">
        <v>62</v>
      </c>
      <c r="G29" s="39"/>
      <c r="H29" s="10" t="s">
        <v>551</v>
      </c>
      <c r="I29" t="s">
        <v>622</v>
      </c>
      <c r="J29">
        <v>2000</v>
      </c>
      <c r="K29" s="4" t="s">
        <v>64</v>
      </c>
      <c r="L29" s="40">
        <v>0</v>
      </c>
      <c r="M29" s="40">
        <v>2000</v>
      </c>
      <c r="N29">
        <v>2.4870000000000001</v>
      </c>
      <c r="O29">
        <v>4974</v>
      </c>
      <c r="P29" t="s">
        <v>65</v>
      </c>
      <c r="Q29" s="6"/>
      <c r="R29" s="41">
        <v>2.3140000000000001E-2</v>
      </c>
      <c r="S29" s="42">
        <v>46.28</v>
      </c>
      <c r="T29" s="84">
        <v>450</v>
      </c>
      <c r="U29" s="43" t="s">
        <v>209</v>
      </c>
      <c r="V29" s="44">
        <v>46137</v>
      </c>
      <c r="W29" s="45">
        <v>46152</v>
      </c>
      <c r="X29" s="46" t="s">
        <v>66</v>
      </c>
      <c r="Y29" s="44">
        <v>46161</v>
      </c>
      <c r="Z29" s="44">
        <v>46164</v>
      </c>
      <c r="AA29" s="46" t="s">
        <v>66</v>
      </c>
      <c r="AB29" s="47">
        <v>12</v>
      </c>
      <c r="AC29" s="1">
        <v>46164</v>
      </c>
      <c r="AD29" s="1">
        <v>46164</v>
      </c>
      <c r="AE29" s="3">
        <v>0</v>
      </c>
      <c r="AF29" s="3" t="s">
        <v>68</v>
      </c>
      <c r="AG29" s="3" t="s">
        <v>68</v>
      </c>
      <c r="AH29" s="3">
        <v>25.5</v>
      </c>
      <c r="AI29" s="3">
        <v>12.142857142857142</v>
      </c>
      <c r="AJ29"/>
      <c r="AK29" s="3" t="s">
        <v>69</v>
      </c>
      <c r="AL29" t="s">
        <v>70</v>
      </c>
      <c r="AM29" t="s">
        <v>71</v>
      </c>
      <c r="AN29" t="s">
        <v>72</v>
      </c>
      <c r="AO29" t="s">
        <v>62</v>
      </c>
      <c r="AP29" s="10"/>
      <c r="AQ29" s="1">
        <v>46107</v>
      </c>
      <c r="AR29" s="48" t="e">
        <v>#N/A</v>
      </c>
      <c r="AS29">
        <v>5468</v>
      </c>
      <c r="AT29">
        <v>100</v>
      </c>
      <c r="AU29" t="s">
        <v>623</v>
      </c>
      <c r="AV29">
        <v>9.1</v>
      </c>
      <c r="AW29">
        <v>9.24</v>
      </c>
      <c r="AX29">
        <v>800</v>
      </c>
      <c r="AY29">
        <v>38</v>
      </c>
      <c r="AZ29">
        <v>29.5</v>
      </c>
      <c r="BA29">
        <v>19.5</v>
      </c>
      <c r="BB29">
        <v>3</v>
      </c>
      <c r="BC29" s="3" t="s">
        <v>621</v>
      </c>
      <c r="BD29" t="s">
        <v>74</v>
      </c>
      <c r="BE29" t="s">
        <v>75</v>
      </c>
      <c r="BF29" s="49" t="e">
        <v>#N/A</v>
      </c>
      <c r="BG29" s="50" t="s">
        <v>75</v>
      </c>
      <c r="BH29" s="50" t="s">
        <v>75</v>
      </c>
      <c r="BI29" s="50" t="s">
        <v>75</v>
      </c>
    </row>
    <row r="30" spans="1:61" ht="15" x14ac:dyDescent="0.25">
      <c r="A30" s="1">
        <v>46079</v>
      </c>
      <c r="B30" t="s">
        <v>624</v>
      </c>
      <c r="C30" t="s">
        <v>625</v>
      </c>
      <c r="D30" t="s">
        <v>626</v>
      </c>
      <c r="E30" t="s">
        <v>627</v>
      </c>
      <c r="F30" t="s">
        <v>62</v>
      </c>
      <c r="G30" s="39"/>
      <c r="H30" s="10" t="s">
        <v>571</v>
      </c>
      <c r="I30" t="s">
        <v>628</v>
      </c>
      <c r="J30">
        <v>2000</v>
      </c>
      <c r="K30" s="4">
        <v>46153</v>
      </c>
      <c r="L30" s="40">
        <v>0</v>
      </c>
      <c r="M30" s="40">
        <v>2000</v>
      </c>
      <c r="N30">
        <v>1.651</v>
      </c>
      <c r="O30">
        <v>3302</v>
      </c>
      <c r="P30" t="s">
        <v>65</v>
      </c>
      <c r="Q30" s="6"/>
      <c r="R30" s="41">
        <v>1.1950000000000001E-2</v>
      </c>
      <c r="S30" s="42">
        <v>23.900000000000002</v>
      </c>
      <c r="T30" s="42">
        <v>500</v>
      </c>
      <c r="U30" s="43">
        <v>0.5</v>
      </c>
      <c r="V30" s="44">
        <v>46126</v>
      </c>
      <c r="W30" s="45">
        <v>46141</v>
      </c>
      <c r="X30" s="46" t="s">
        <v>66</v>
      </c>
      <c r="Y30" s="44">
        <v>46161</v>
      </c>
      <c r="Z30" s="44">
        <v>46164</v>
      </c>
      <c r="AA30" s="46" t="s">
        <v>66</v>
      </c>
      <c r="AB30" s="47">
        <v>23</v>
      </c>
      <c r="AC30" s="1">
        <v>46171</v>
      </c>
      <c r="AD30" s="1">
        <v>46171</v>
      </c>
      <c r="AE30" s="3">
        <v>7</v>
      </c>
      <c r="AF30" s="3" t="s">
        <v>68</v>
      </c>
      <c r="AG30" s="3" t="s">
        <v>68</v>
      </c>
      <c r="AH30" s="3">
        <v>25.5</v>
      </c>
      <c r="AI30" s="3">
        <v>12.142857142857142</v>
      </c>
      <c r="AJ30"/>
      <c r="AK30" s="3" t="s">
        <v>69</v>
      </c>
      <c r="AL30" t="s">
        <v>70</v>
      </c>
      <c r="AM30"/>
      <c r="AN30" t="s">
        <v>72</v>
      </c>
      <c r="AO30" t="s">
        <v>62</v>
      </c>
      <c r="AP30" s="10"/>
      <c r="AQ30" s="1">
        <v>46107</v>
      </c>
      <c r="AR30" s="48" t="e">
        <v>#N/A</v>
      </c>
      <c r="AS30">
        <v>5467</v>
      </c>
      <c r="AT30">
        <v>100</v>
      </c>
      <c r="AU30" t="s">
        <v>629</v>
      </c>
      <c r="AV30">
        <v>15.81</v>
      </c>
      <c r="AW30">
        <v>11.2</v>
      </c>
      <c r="AX30">
        <v>600</v>
      </c>
      <c r="AY30">
        <v>38</v>
      </c>
      <c r="AZ30">
        <v>29.5</v>
      </c>
      <c r="BA30">
        <v>19.5</v>
      </c>
      <c r="BB30">
        <v>4</v>
      </c>
      <c r="BC30" s="3" t="s">
        <v>627</v>
      </c>
      <c r="BD30" t="s">
        <v>74</v>
      </c>
      <c r="BE30" t="s">
        <v>75</v>
      </c>
      <c r="BF30" s="49" t="e">
        <v>#N/A</v>
      </c>
      <c r="BG30" s="50" t="s">
        <v>75</v>
      </c>
      <c r="BH30" s="50" t="s">
        <v>625</v>
      </c>
      <c r="BI30" s="50" t="s">
        <v>75</v>
      </c>
    </row>
    <row r="31" spans="1:61" ht="15" x14ac:dyDescent="0.25">
      <c r="A31" s="1">
        <v>46079</v>
      </c>
      <c r="B31" t="s">
        <v>630</v>
      </c>
      <c r="C31" t="s">
        <v>631</v>
      </c>
      <c r="D31" t="s">
        <v>632</v>
      </c>
      <c r="E31" t="s">
        <v>633</v>
      </c>
      <c r="F31" t="s">
        <v>62</v>
      </c>
      <c r="G31" s="39"/>
      <c r="H31" s="10" t="s">
        <v>965</v>
      </c>
      <c r="I31" t="s">
        <v>634</v>
      </c>
      <c r="J31">
        <v>2000</v>
      </c>
      <c r="K31" s="4"/>
      <c r="L31" s="40">
        <v>0</v>
      </c>
      <c r="M31" s="40">
        <v>2000</v>
      </c>
      <c r="N31">
        <v>1.1439999999999999</v>
      </c>
      <c r="O31">
        <v>2288</v>
      </c>
      <c r="P31" t="s">
        <v>65</v>
      </c>
      <c r="Q31" s="6"/>
      <c r="R31" s="41">
        <v>5.2900000000000004E-3</v>
      </c>
      <c r="S31" s="42">
        <v>10.58</v>
      </c>
      <c r="T31" s="42">
        <v>500</v>
      </c>
      <c r="U31" s="43">
        <v>0.5</v>
      </c>
      <c r="V31" s="44">
        <v>46126</v>
      </c>
      <c r="W31" s="45">
        <v>46141</v>
      </c>
      <c r="X31" s="46" t="s">
        <v>66</v>
      </c>
      <c r="Y31" s="44">
        <v>46161</v>
      </c>
      <c r="Z31" s="44">
        <v>46164</v>
      </c>
      <c r="AA31" s="46" t="s">
        <v>66</v>
      </c>
      <c r="AB31" s="47">
        <v>23</v>
      </c>
      <c r="AC31" s="1">
        <v>46171</v>
      </c>
      <c r="AD31" s="1">
        <v>46171</v>
      </c>
      <c r="AE31" s="3">
        <v>7</v>
      </c>
      <c r="AF31" s="3" t="s">
        <v>68</v>
      </c>
      <c r="AG31" s="3" t="s">
        <v>68</v>
      </c>
      <c r="AH31" s="3">
        <v>25.5</v>
      </c>
      <c r="AI31" s="3">
        <v>12.142857142857142</v>
      </c>
      <c r="AJ31"/>
      <c r="AK31" s="3" t="s">
        <v>69</v>
      </c>
      <c r="AL31" t="s">
        <v>70</v>
      </c>
      <c r="AM31"/>
      <c r="AN31" t="s">
        <v>72</v>
      </c>
      <c r="AO31" t="s">
        <v>62</v>
      </c>
      <c r="AP31" s="10"/>
      <c r="AQ31" s="1">
        <v>46107</v>
      </c>
      <c r="AR31" s="48" t="e">
        <v>#N/A</v>
      </c>
      <c r="AS31">
        <v>5466</v>
      </c>
      <c r="AT31">
        <v>100</v>
      </c>
      <c r="AU31" t="s">
        <v>635</v>
      </c>
      <c r="AV31">
        <v>9.5500000000000007</v>
      </c>
      <c r="AW31">
        <v>9.9499999999999993</v>
      </c>
      <c r="AX31">
        <v>800</v>
      </c>
      <c r="AY31">
        <v>38</v>
      </c>
      <c r="AZ31">
        <v>29.5</v>
      </c>
      <c r="BA31">
        <v>19.5</v>
      </c>
      <c r="BB31">
        <v>3</v>
      </c>
      <c r="BC31" s="3" t="s">
        <v>633</v>
      </c>
      <c r="BD31" t="s">
        <v>74</v>
      </c>
      <c r="BE31" t="s">
        <v>75</v>
      </c>
      <c r="BF31" s="49" t="e">
        <v>#N/A</v>
      </c>
      <c r="BG31" s="50" t="s">
        <v>75</v>
      </c>
      <c r="BH31" s="50" t="s">
        <v>631</v>
      </c>
      <c r="BI31" s="50" t="s">
        <v>75</v>
      </c>
    </row>
    <row r="32" spans="1:61" ht="15" x14ac:dyDescent="0.25">
      <c r="A32" s="1">
        <v>46079</v>
      </c>
      <c r="B32" t="s">
        <v>636</v>
      </c>
      <c r="C32" t="s">
        <v>637</v>
      </c>
      <c r="D32" t="s">
        <v>638</v>
      </c>
      <c r="E32" t="s">
        <v>639</v>
      </c>
      <c r="F32" t="s">
        <v>62</v>
      </c>
      <c r="G32" s="39"/>
      <c r="H32" s="10" t="s">
        <v>571</v>
      </c>
      <c r="I32" t="s">
        <v>640</v>
      </c>
      <c r="J32">
        <v>1000</v>
      </c>
      <c r="K32" s="4">
        <v>46153</v>
      </c>
      <c r="L32" s="40">
        <v>0</v>
      </c>
      <c r="M32" s="40">
        <v>1000</v>
      </c>
      <c r="N32">
        <v>2.6640000000000001</v>
      </c>
      <c r="O32">
        <v>2664</v>
      </c>
      <c r="P32" t="s">
        <v>65</v>
      </c>
      <c r="Q32" s="6"/>
      <c r="R32" s="41">
        <v>2.972E-2</v>
      </c>
      <c r="S32" s="42">
        <v>29.72</v>
      </c>
      <c r="T32" s="42">
        <v>400</v>
      </c>
      <c r="U32" s="43">
        <v>0.3125</v>
      </c>
      <c r="V32" s="44">
        <v>46126</v>
      </c>
      <c r="W32" s="45">
        <v>46141</v>
      </c>
      <c r="X32" s="46" t="s">
        <v>66</v>
      </c>
      <c r="Y32" s="44">
        <v>46161</v>
      </c>
      <c r="Z32" s="44">
        <v>46164</v>
      </c>
      <c r="AA32" s="46" t="s">
        <v>66</v>
      </c>
      <c r="AB32" s="47">
        <v>23</v>
      </c>
      <c r="AC32" s="1">
        <v>46164</v>
      </c>
      <c r="AD32" s="1">
        <v>46164</v>
      </c>
      <c r="AE32" s="3">
        <v>0</v>
      </c>
      <c r="AF32" s="3" t="s">
        <v>68</v>
      </c>
      <c r="AG32" s="3" t="s">
        <v>68</v>
      </c>
      <c r="AH32" s="3">
        <v>25.5</v>
      </c>
      <c r="AI32" s="3">
        <v>12.142857142857142</v>
      </c>
      <c r="AJ32"/>
      <c r="AK32" s="3" t="s">
        <v>69</v>
      </c>
      <c r="AL32" t="s">
        <v>70</v>
      </c>
      <c r="AM32" t="s">
        <v>71</v>
      </c>
      <c r="AN32" t="s">
        <v>72</v>
      </c>
      <c r="AO32" t="s">
        <v>62</v>
      </c>
      <c r="AP32" s="10"/>
      <c r="AQ32" s="1">
        <v>46107</v>
      </c>
      <c r="AR32" s="48" t="e">
        <v>#N/A</v>
      </c>
      <c r="AS32">
        <v>5449</v>
      </c>
      <c r="AT32">
        <v>100</v>
      </c>
      <c r="AU32" t="s">
        <v>641</v>
      </c>
      <c r="AV32">
        <v>24.64</v>
      </c>
      <c r="AW32">
        <v>16.45</v>
      </c>
      <c r="AX32">
        <v>600</v>
      </c>
      <c r="AY32">
        <v>38</v>
      </c>
      <c r="AZ32">
        <v>29.5</v>
      </c>
      <c r="BA32">
        <v>19.5</v>
      </c>
      <c r="BB32">
        <v>2</v>
      </c>
      <c r="BC32" s="3" t="s">
        <v>639</v>
      </c>
      <c r="BD32" t="s">
        <v>74</v>
      </c>
      <c r="BE32" t="s">
        <v>75</v>
      </c>
      <c r="BF32" s="49" t="e">
        <v>#N/A</v>
      </c>
      <c r="BG32" s="50" t="s">
        <v>75</v>
      </c>
      <c r="BH32" s="50" t="s">
        <v>637</v>
      </c>
      <c r="BI32" s="50" t="s">
        <v>75</v>
      </c>
    </row>
    <row r="33" spans="1:61" ht="15" x14ac:dyDescent="0.25">
      <c r="A33" s="1">
        <v>46083</v>
      </c>
      <c r="B33" t="s">
        <v>660</v>
      </c>
      <c r="C33" s="10" t="s">
        <v>661</v>
      </c>
      <c r="D33" s="10" t="s">
        <v>662</v>
      </c>
      <c r="E33" t="s">
        <v>663</v>
      </c>
      <c r="F33" t="s">
        <v>62</v>
      </c>
      <c r="G33" s="39"/>
      <c r="H33" s="10" t="s">
        <v>551</v>
      </c>
      <c r="I33" t="s">
        <v>664</v>
      </c>
      <c r="J33" s="54">
        <v>2500</v>
      </c>
      <c r="K33" s="4" t="s">
        <v>64</v>
      </c>
      <c r="L33" s="40">
        <v>0</v>
      </c>
      <c r="M33" s="40">
        <v>2500</v>
      </c>
      <c r="N33" s="5">
        <v>2.0030000000000001</v>
      </c>
      <c r="O33">
        <v>5007.5</v>
      </c>
      <c r="P33" t="s">
        <v>65</v>
      </c>
      <c r="Q33" s="6"/>
      <c r="R33" s="41">
        <v>1.788E-2</v>
      </c>
      <c r="S33" s="42">
        <v>44.7</v>
      </c>
      <c r="T33" s="42">
        <v>400</v>
      </c>
      <c r="U33" s="43">
        <v>0.78125</v>
      </c>
      <c r="V33" s="44">
        <v>46133</v>
      </c>
      <c r="W33" s="45">
        <v>46148</v>
      </c>
      <c r="X33" s="46" t="s">
        <v>66</v>
      </c>
      <c r="Y33" s="44">
        <v>46161</v>
      </c>
      <c r="Z33" s="44">
        <v>46164</v>
      </c>
      <c r="AA33" s="46" t="s">
        <v>66</v>
      </c>
      <c r="AB33" s="47">
        <v>16</v>
      </c>
      <c r="AC33" s="1">
        <v>46171</v>
      </c>
      <c r="AD33" s="1">
        <v>46171</v>
      </c>
      <c r="AE33" s="3">
        <v>7</v>
      </c>
      <c r="AF33" s="3" t="s">
        <v>68</v>
      </c>
      <c r="AG33" s="3" t="s">
        <v>68</v>
      </c>
      <c r="AH33" s="3">
        <v>21.5</v>
      </c>
      <c r="AI33" s="3">
        <v>11.571428571428571</v>
      </c>
      <c r="AJ33"/>
      <c r="AK33" s="3" t="s">
        <v>69</v>
      </c>
      <c r="AL33" t="s">
        <v>70</v>
      </c>
      <c r="AM33"/>
      <c r="AN33" t="s">
        <v>72</v>
      </c>
      <c r="AO33" t="s">
        <v>62</v>
      </c>
      <c r="AP33" s="10"/>
      <c r="AQ33" s="1">
        <v>46111</v>
      </c>
      <c r="AR33" s="48" t="e">
        <v>#N/A</v>
      </c>
      <c r="AS33">
        <v>5512</v>
      </c>
      <c r="AT33">
        <v>100</v>
      </c>
      <c r="AU33" t="s">
        <v>665</v>
      </c>
      <c r="AV33">
        <v>16.52</v>
      </c>
      <c r="AW33">
        <v>13.568300000000001</v>
      </c>
      <c r="AX33">
        <v>700</v>
      </c>
      <c r="AY33">
        <v>38</v>
      </c>
      <c r="AZ33">
        <v>29.5</v>
      </c>
      <c r="BA33">
        <v>19.5</v>
      </c>
      <c r="BB33">
        <v>4</v>
      </c>
      <c r="BC33" s="3" t="s">
        <v>663</v>
      </c>
      <c r="BD33" t="s">
        <v>74</v>
      </c>
      <c r="BE33" t="s">
        <v>75</v>
      </c>
      <c r="BF33" s="49" t="e">
        <v>#N/A</v>
      </c>
      <c r="BG33" s="50" t="s">
        <v>75</v>
      </c>
      <c r="BH33" s="50" t="s">
        <v>661</v>
      </c>
      <c r="BI33" s="50" t="s">
        <v>75</v>
      </c>
    </row>
    <row r="34" spans="1:61" ht="15" x14ac:dyDescent="0.25">
      <c r="A34" s="1">
        <v>46083</v>
      </c>
      <c r="B34" t="s">
        <v>338</v>
      </c>
      <c r="C34" s="10" t="s">
        <v>339</v>
      </c>
      <c r="D34" s="10" t="s">
        <v>340</v>
      </c>
      <c r="E34" t="s">
        <v>666</v>
      </c>
      <c r="F34" t="s">
        <v>62</v>
      </c>
      <c r="G34" s="39"/>
      <c r="H34" s="10" t="s">
        <v>965</v>
      </c>
      <c r="I34" t="s">
        <v>667</v>
      </c>
      <c r="J34" s="54">
        <v>1000</v>
      </c>
      <c r="K34" s="4"/>
      <c r="L34" s="40">
        <v>0</v>
      </c>
      <c r="M34" s="40">
        <v>1000</v>
      </c>
      <c r="N34" s="5">
        <v>1.0429999999999999</v>
      </c>
      <c r="O34">
        <v>1043</v>
      </c>
      <c r="P34" t="s">
        <v>65</v>
      </c>
      <c r="Q34" s="6"/>
      <c r="R34" s="41">
        <v>9.11E-3</v>
      </c>
      <c r="S34" s="42">
        <v>9.11</v>
      </c>
      <c r="T34" s="42">
        <v>400</v>
      </c>
      <c r="U34" s="43">
        <v>0.3125</v>
      </c>
      <c r="V34" s="44">
        <v>46126</v>
      </c>
      <c r="W34" s="45">
        <v>46141</v>
      </c>
      <c r="X34" s="46" t="s">
        <v>66</v>
      </c>
      <c r="Y34" s="44">
        <v>46161</v>
      </c>
      <c r="Z34" s="44">
        <v>46164</v>
      </c>
      <c r="AA34" s="46" t="s">
        <v>66</v>
      </c>
      <c r="AB34" s="47">
        <v>23</v>
      </c>
      <c r="AC34" s="1">
        <v>46171</v>
      </c>
      <c r="AD34" s="1">
        <v>46171</v>
      </c>
      <c r="AE34" s="3">
        <v>7</v>
      </c>
      <c r="AF34" s="3" t="s">
        <v>68</v>
      </c>
      <c r="AG34" s="3" t="s">
        <v>68</v>
      </c>
      <c r="AH34" s="3">
        <v>21.5</v>
      </c>
      <c r="AI34" s="3">
        <v>11.571428571428571</v>
      </c>
      <c r="AJ34"/>
      <c r="AK34" s="3" t="s">
        <v>69</v>
      </c>
      <c r="AL34" t="s">
        <v>70</v>
      </c>
      <c r="AM34"/>
      <c r="AN34" t="s">
        <v>72</v>
      </c>
      <c r="AO34" t="s">
        <v>62</v>
      </c>
      <c r="AP34" s="10"/>
      <c r="AQ34" s="1">
        <v>46111</v>
      </c>
      <c r="AR34" s="48" t="e">
        <v>#N/A</v>
      </c>
      <c r="AS34">
        <v>5511</v>
      </c>
      <c r="AT34">
        <v>100</v>
      </c>
      <c r="AU34" t="s">
        <v>668</v>
      </c>
      <c r="AV34">
        <v>5.46</v>
      </c>
      <c r="AW34">
        <v>7.64</v>
      </c>
      <c r="AX34">
        <v>1000</v>
      </c>
      <c r="AY34">
        <v>38</v>
      </c>
      <c r="AZ34">
        <v>29.5</v>
      </c>
      <c r="BA34">
        <v>19.5</v>
      </c>
      <c r="BB34">
        <v>1</v>
      </c>
      <c r="BC34" s="3" t="s">
        <v>666</v>
      </c>
      <c r="BD34" t="s">
        <v>74</v>
      </c>
      <c r="BE34" t="s">
        <v>75</v>
      </c>
      <c r="BF34" s="49" t="e">
        <v>#N/A</v>
      </c>
      <c r="BG34" s="50" t="s">
        <v>75</v>
      </c>
      <c r="BH34" s="50" t="s">
        <v>75</v>
      </c>
      <c r="BI34" s="50" t="s">
        <v>75</v>
      </c>
    </row>
    <row r="35" spans="1:61" ht="15" x14ac:dyDescent="0.25">
      <c r="A35" s="1">
        <v>46084</v>
      </c>
      <c r="B35" t="s">
        <v>685</v>
      </c>
      <c r="C35" t="s">
        <v>686</v>
      </c>
      <c r="D35" s="55" t="s">
        <v>687</v>
      </c>
      <c r="E35" t="s">
        <v>688</v>
      </c>
      <c r="F35" t="s">
        <v>62</v>
      </c>
      <c r="G35" s="39"/>
      <c r="H35" s="10" t="s">
        <v>551</v>
      </c>
      <c r="I35" t="s">
        <v>689</v>
      </c>
      <c r="J35">
        <v>3500</v>
      </c>
      <c r="K35" s="4" t="s">
        <v>64</v>
      </c>
      <c r="L35" s="40">
        <v>0</v>
      </c>
      <c r="M35" s="40">
        <v>3500</v>
      </c>
      <c r="N35">
        <v>0.82799999999999996</v>
      </c>
      <c r="O35">
        <v>2898</v>
      </c>
      <c r="P35" t="s">
        <v>65</v>
      </c>
      <c r="Q35" s="6"/>
      <c r="R35" s="41">
        <v>9.0900000000000009E-3</v>
      </c>
      <c r="S35" s="42">
        <v>31.815000000000001</v>
      </c>
      <c r="T35" s="42">
        <v>450</v>
      </c>
      <c r="U35" s="43">
        <v>0.97222222222222221</v>
      </c>
      <c r="V35" s="44">
        <v>46126</v>
      </c>
      <c r="W35" s="45">
        <v>46141</v>
      </c>
      <c r="X35" s="46" t="s">
        <v>66</v>
      </c>
      <c r="Y35" s="44">
        <v>46161</v>
      </c>
      <c r="Z35" s="44">
        <v>46164</v>
      </c>
      <c r="AA35" s="46" t="s">
        <v>66</v>
      </c>
      <c r="AB35" s="47">
        <v>23</v>
      </c>
      <c r="AC35" s="1">
        <v>46171</v>
      </c>
      <c r="AD35" s="1">
        <v>46171</v>
      </c>
      <c r="AE35" s="3">
        <v>7</v>
      </c>
      <c r="AF35" s="3" t="s">
        <v>68</v>
      </c>
      <c r="AG35" s="3" t="s">
        <v>68</v>
      </c>
      <c r="AH35" s="3">
        <v>20.5</v>
      </c>
      <c r="AI35" s="3">
        <v>11.428571428571429</v>
      </c>
      <c r="AJ35"/>
      <c r="AK35" s="3" t="s">
        <v>69</v>
      </c>
      <c r="AL35" t="s">
        <v>70</v>
      </c>
      <c r="AM35"/>
      <c r="AN35" t="s">
        <v>72</v>
      </c>
      <c r="AO35" t="s">
        <v>62</v>
      </c>
      <c r="AP35" s="10"/>
      <c r="AQ35" s="1">
        <v>46112</v>
      </c>
      <c r="AR35" s="48" t="e">
        <v>#N/A</v>
      </c>
      <c r="AS35">
        <v>5541</v>
      </c>
      <c r="AT35">
        <v>100</v>
      </c>
      <c r="AU35" t="s">
        <v>690</v>
      </c>
      <c r="AV35">
        <v>0</v>
      </c>
      <c r="AW35">
        <v>0</v>
      </c>
      <c r="AX35">
        <v>800</v>
      </c>
      <c r="AY35">
        <v>36</v>
      </c>
      <c r="AZ35">
        <v>34</v>
      </c>
      <c r="BA35">
        <v>24.5</v>
      </c>
      <c r="BB35">
        <v>5</v>
      </c>
      <c r="BC35" s="3" t="s">
        <v>688</v>
      </c>
      <c r="BD35" t="s">
        <v>74</v>
      </c>
      <c r="BE35" t="s">
        <v>75</v>
      </c>
      <c r="BF35" s="49" t="e">
        <v>#N/A</v>
      </c>
      <c r="BG35" s="50" t="s">
        <v>75</v>
      </c>
      <c r="BH35" s="50" t="s">
        <v>686</v>
      </c>
      <c r="BI35" s="50" t="s">
        <v>75</v>
      </c>
    </row>
    <row r="36" spans="1:61" ht="15" x14ac:dyDescent="0.25">
      <c r="A36" s="1">
        <v>46086</v>
      </c>
      <c r="B36" t="s">
        <v>374</v>
      </c>
      <c r="C36" t="s">
        <v>375</v>
      </c>
      <c r="D36" t="s">
        <v>376</v>
      </c>
      <c r="E36" t="s">
        <v>720</v>
      </c>
      <c r="F36" t="s">
        <v>62</v>
      </c>
      <c r="G36" s="39"/>
      <c r="H36" s="10" t="s">
        <v>571</v>
      </c>
      <c r="I36" t="s">
        <v>721</v>
      </c>
      <c r="J36">
        <v>3000</v>
      </c>
      <c r="K36" s="4">
        <v>46153</v>
      </c>
      <c r="L36" s="40">
        <v>0</v>
      </c>
      <c r="M36" s="40">
        <v>3000</v>
      </c>
      <c r="N36" s="5">
        <v>1.3260000000000001</v>
      </c>
      <c r="O36">
        <v>3978</v>
      </c>
      <c r="P36" t="s">
        <v>65</v>
      </c>
      <c r="Q36" s="6"/>
      <c r="R36" s="41">
        <v>1.111E-2</v>
      </c>
      <c r="S36" s="42">
        <v>33.33</v>
      </c>
      <c r="T36" s="42">
        <v>400</v>
      </c>
      <c r="U36" s="43">
        <v>0.9375</v>
      </c>
      <c r="V36" s="44">
        <v>46131</v>
      </c>
      <c r="W36" s="45">
        <v>46146</v>
      </c>
      <c r="X36" s="46" t="s">
        <v>66</v>
      </c>
      <c r="Y36" s="44">
        <v>46161</v>
      </c>
      <c r="Z36" s="44">
        <v>46164</v>
      </c>
      <c r="AA36" s="46" t="s">
        <v>66</v>
      </c>
      <c r="AB36" s="47">
        <v>18</v>
      </c>
      <c r="AC36" s="1">
        <v>46171</v>
      </c>
      <c r="AD36" s="1">
        <v>46171</v>
      </c>
      <c r="AE36" s="3">
        <v>7</v>
      </c>
      <c r="AF36" s="3" t="s">
        <v>68</v>
      </c>
      <c r="AG36" s="3" t="s">
        <v>68</v>
      </c>
      <c r="AH36" s="3">
        <v>18.5</v>
      </c>
      <c r="AI36" s="3">
        <v>11.142857142857142</v>
      </c>
      <c r="AJ36"/>
      <c r="AK36" s="3" t="s">
        <v>69</v>
      </c>
      <c r="AL36" t="s">
        <v>70</v>
      </c>
      <c r="AM36"/>
      <c r="AN36" t="s">
        <v>72</v>
      </c>
      <c r="AO36" t="s">
        <v>62</v>
      </c>
      <c r="AP36" s="10"/>
      <c r="AQ36" s="1">
        <v>46114</v>
      </c>
      <c r="AR36" s="48" t="e">
        <v>#N/A</v>
      </c>
      <c r="AS36">
        <v>5577</v>
      </c>
      <c r="AT36">
        <v>100</v>
      </c>
      <c r="AU36" t="s">
        <v>722</v>
      </c>
      <c r="AV36">
        <v>4.2</v>
      </c>
      <c r="AW36">
        <v>6.33</v>
      </c>
      <c r="AX36">
        <v>1000</v>
      </c>
      <c r="AY36">
        <v>38</v>
      </c>
      <c r="AZ36">
        <v>29.5</v>
      </c>
      <c r="BA36">
        <v>19.5</v>
      </c>
      <c r="BB36">
        <v>3</v>
      </c>
      <c r="BC36" s="3" t="s">
        <v>720</v>
      </c>
      <c r="BD36" t="s">
        <v>380</v>
      </c>
      <c r="BE36" t="s">
        <v>75</v>
      </c>
      <c r="BF36" s="49" t="e">
        <v>#N/A</v>
      </c>
      <c r="BG36" s="50" t="s">
        <v>75</v>
      </c>
      <c r="BH36" s="50" t="s">
        <v>75</v>
      </c>
      <c r="BI36" s="50" t="s">
        <v>75</v>
      </c>
    </row>
    <row r="37" spans="1:61" ht="15" x14ac:dyDescent="0.25">
      <c r="A37" s="1">
        <v>46090</v>
      </c>
      <c r="B37" t="s">
        <v>791</v>
      </c>
      <c r="C37" t="s">
        <v>792</v>
      </c>
      <c r="D37" t="s">
        <v>793</v>
      </c>
      <c r="E37" t="s">
        <v>794</v>
      </c>
      <c r="F37" t="s">
        <v>62</v>
      </c>
      <c r="G37" s="39"/>
      <c r="H37" s="10" t="s">
        <v>571</v>
      </c>
      <c r="I37" t="s">
        <v>795</v>
      </c>
      <c r="J37">
        <v>2000</v>
      </c>
      <c r="K37" s="4">
        <v>46153</v>
      </c>
      <c r="L37" s="40">
        <v>0</v>
      </c>
      <c r="M37" s="40">
        <v>2000</v>
      </c>
      <c r="N37">
        <v>1.3149999999999999</v>
      </c>
      <c r="O37">
        <v>2630</v>
      </c>
      <c r="P37" t="s">
        <v>65</v>
      </c>
      <c r="Q37" s="6"/>
      <c r="R37" s="41">
        <v>1.243E-2</v>
      </c>
      <c r="S37" s="42">
        <v>24.86</v>
      </c>
      <c r="T37" s="42">
        <v>500</v>
      </c>
      <c r="U37" s="43">
        <v>0.5</v>
      </c>
      <c r="V37" s="44">
        <v>46133</v>
      </c>
      <c r="W37" s="45">
        <v>46148</v>
      </c>
      <c r="X37" s="46" t="s">
        <v>66</v>
      </c>
      <c r="Y37" s="44">
        <v>46161</v>
      </c>
      <c r="Z37" s="44">
        <v>46164</v>
      </c>
      <c r="AA37" s="46" t="s">
        <v>66</v>
      </c>
      <c r="AB37" s="47">
        <v>16</v>
      </c>
      <c r="AC37" s="1">
        <v>46185</v>
      </c>
      <c r="AD37" s="1">
        <v>46185</v>
      </c>
      <c r="AE37" s="3">
        <v>21</v>
      </c>
      <c r="AF37" s="3" t="s">
        <v>68</v>
      </c>
      <c r="AG37" s="3" t="s">
        <v>68</v>
      </c>
      <c r="AH37" s="3">
        <v>14.5</v>
      </c>
      <c r="AI37" s="3">
        <v>10.571428571428571</v>
      </c>
      <c r="AJ37"/>
      <c r="AK37" s="3" t="s">
        <v>69</v>
      </c>
      <c r="AL37" t="s">
        <v>70</v>
      </c>
      <c r="AM37"/>
      <c r="AN37" t="s">
        <v>72</v>
      </c>
      <c r="AO37" t="s">
        <v>62</v>
      </c>
      <c r="AP37" s="10"/>
      <c r="AQ37" s="1">
        <v>46053</v>
      </c>
      <c r="AR37" s="48" t="e">
        <v>#N/A</v>
      </c>
      <c r="AS37">
        <v>5642</v>
      </c>
      <c r="AT37">
        <v>100</v>
      </c>
      <c r="AU37" t="s">
        <v>796</v>
      </c>
      <c r="AV37">
        <v>11.49</v>
      </c>
      <c r="AW37">
        <v>12.23</v>
      </c>
      <c r="AX37">
        <v>800</v>
      </c>
      <c r="AY37">
        <v>38</v>
      </c>
      <c r="AZ37">
        <v>29.5</v>
      </c>
      <c r="BA37">
        <v>19.5</v>
      </c>
      <c r="BB37">
        <v>16</v>
      </c>
      <c r="BC37" s="3" t="s">
        <v>797</v>
      </c>
      <c r="BD37" t="s">
        <v>74</v>
      </c>
      <c r="BE37" t="s">
        <v>75</v>
      </c>
      <c r="BF37" s="49" t="e">
        <v>#N/A</v>
      </c>
      <c r="BG37" s="50" t="s">
        <v>75</v>
      </c>
      <c r="BH37" s="50" t="s">
        <v>792</v>
      </c>
      <c r="BI37" s="50" t="s">
        <v>75</v>
      </c>
    </row>
    <row r="38" spans="1:61" ht="15" x14ac:dyDescent="0.25">
      <c r="A38" s="1">
        <v>46090</v>
      </c>
      <c r="B38" t="s">
        <v>798</v>
      </c>
      <c r="C38" t="s">
        <v>799</v>
      </c>
      <c r="D38" t="s">
        <v>800</v>
      </c>
      <c r="E38" t="s">
        <v>801</v>
      </c>
      <c r="F38" t="s">
        <v>62</v>
      </c>
      <c r="G38" s="39"/>
      <c r="H38" s="10" t="s">
        <v>551</v>
      </c>
      <c r="I38" t="s">
        <v>802</v>
      </c>
      <c r="J38">
        <v>1000</v>
      </c>
      <c r="K38" s="4" t="s">
        <v>64</v>
      </c>
      <c r="L38" s="40">
        <v>0</v>
      </c>
      <c r="M38" s="40">
        <v>1000</v>
      </c>
      <c r="N38">
        <v>0.873</v>
      </c>
      <c r="O38">
        <v>873</v>
      </c>
      <c r="P38" t="s">
        <v>65</v>
      </c>
      <c r="Q38" s="6"/>
      <c r="R38" s="41">
        <v>1.3899999999999999E-2</v>
      </c>
      <c r="S38" s="42">
        <v>13.899999999999999</v>
      </c>
      <c r="T38" s="42">
        <v>450</v>
      </c>
      <c r="U38" s="43">
        <v>0.27777777777777779</v>
      </c>
      <c r="V38" s="44">
        <v>46129</v>
      </c>
      <c r="W38" s="45">
        <v>46144</v>
      </c>
      <c r="X38" s="46" t="s">
        <v>66</v>
      </c>
      <c r="Y38" s="44">
        <v>46161</v>
      </c>
      <c r="Z38" s="44">
        <v>46164</v>
      </c>
      <c r="AA38" s="46" t="s">
        <v>66</v>
      </c>
      <c r="AB38" s="47">
        <v>20</v>
      </c>
      <c r="AC38" s="1">
        <v>46172</v>
      </c>
      <c r="AD38" s="1">
        <v>46172</v>
      </c>
      <c r="AE38" s="3">
        <v>8</v>
      </c>
      <c r="AF38" s="3" t="s">
        <v>68</v>
      </c>
      <c r="AG38" s="3" t="s">
        <v>68</v>
      </c>
      <c r="AH38" s="3">
        <v>14.5</v>
      </c>
      <c r="AI38" s="3">
        <v>10.571428571428571</v>
      </c>
      <c r="AJ38"/>
      <c r="AK38" s="3" t="s">
        <v>69</v>
      </c>
      <c r="AL38" t="s">
        <v>80</v>
      </c>
      <c r="AM38"/>
      <c r="AN38" t="s">
        <v>72</v>
      </c>
      <c r="AO38" t="s">
        <v>62</v>
      </c>
      <c r="AP38" s="10"/>
      <c r="AQ38" s="1">
        <v>46059</v>
      </c>
      <c r="AR38" s="48" t="e">
        <v>#N/A</v>
      </c>
      <c r="AS38">
        <v>5636</v>
      </c>
      <c r="AT38">
        <v>100</v>
      </c>
      <c r="AU38" t="s">
        <v>803</v>
      </c>
      <c r="AV38">
        <v>10.65</v>
      </c>
      <c r="AW38">
        <v>10.61</v>
      </c>
      <c r="AX38">
        <v>800</v>
      </c>
      <c r="AY38">
        <v>38</v>
      </c>
      <c r="AZ38">
        <v>29.5</v>
      </c>
      <c r="BA38">
        <v>19.5</v>
      </c>
      <c r="BB38">
        <v>22</v>
      </c>
      <c r="BC38" s="3" t="s">
        <v>804</v>
      </c>
      <c r="BD38" t="s">
        <v>74</v>
      </c>
      <c r="BE38" t="s">
        <v>75</v>
      </c>
      <c r="BF38" s="49" t="e">
        <v>#N/A</v>
      </c>
      <c r="BG38" s="50" t="s">
        <v>75</v>
      </c>
      <c r="BH38" s="50" t="s">
        <v>799</v>
      </c>
      <c r="BI38" s="50" t="s">
        <v>75</v>
      </c>
    </row>
    <row r="39" spans="1:61" ht="15" x14ac:dyDescent="0.25">
      <c r="A39" s="1">
        <v>46091</v>
      </c>
      <c r="B39" t="s">
        <v>836</v>
      </c>
      <c r="C39" t="s">
        <v>837</v>
      </c>
      <c r="D39" s="10" t="s">
        <v>838</v>
      </c>
      <c r="E39" t="s">
        <v>839</v>
      </c>
      <c r="F39" t="s">
        <v>62</v>
      </c>
      <c r="G39" s="39"/>
      <c r="H39" s="10" t="s">
        <v>551</v>
      </c>
      <c r="I39" t="s">
        <v>840</v>
      </c>
      <c r="J39">
        <v>4500</v>
      </c>
      <c r="K39" s="4" t="s">
        <v>64</v>
      </c>
      <c r="L39" s="40">
        <v>0</v>
      </c>
      <c r="M39" s="40">
        <v>4500</v>
      </c>
      <c r="N39" s="5">
        <v>1.256</v>
      </c>
      <c r="O39">
        <v>5652</v>
      </c>
      <c r="P39" t="s">
        <v>65</v>
      </c>
      <c r="Q39" s="6"/>
      <c r="R39" s="41">
        <v>1.1310000000000001E-2</v>
      </c>
      <c r="S39" s="42">
        <v>50.895000000000003</v>
      </c>
      <c r="T39" s="42">
        <v>400</v>
      </c>
      <c r="U39" s="43">
        <v>1.40625</v>
      </c>
      <c r="V39" s="44">
        <v>46133</v>
      </c>
      <c r="W39" s="45">
        <v>46148</v>
      </c>
      <c r="X39" s="46" t="s">
        <v>66</v>
      </c>
      <c r="Y39" s="44">
        <v>46161</v>
      </c>
      <c r="Z39" s="44">
        <v>46164</v>
      </c>
      <c r="AA39" s="46" t="s">
        <v>66</v>
      </c>
      <c r="AB39" s="47">
        <v>16</v>
      </c>
      <c r="AC39" s="1">
        <v>46164</v>
      </c>
      <c r="AD39" s="1">
        <v>46164</v>
      </c>
      <c r="AE39" s="3">
        <v>0</v>
      </c>
      <c r="AF39" s="3" t="s">
        <v>68</v>
      </c>
      <c r="AG39" s="3" t="s">
        <v>68</v>
      </c>
      <c r="AH39" s="3">
        <v>13.5</v>
      </c>
      <c r="AI39" s="3">
        <v>10.428571428571429</v>
      </c>
      <c r="AJ39"/>
      <c r="AK39" s="3" t="s">
        <v>69</v>
      </c>
      <c r="AL39" t="s">
        <v>70</v>
      </c>
      <c r="AM39" t="s">
        <v>71</v>
      </c>
      <c r="AN39" t="s">
        <v>72</v>
      </c>
      <c r="AO39" t="s">
        <v>62</v>
      </c>
      <c r="AP39" s="10"/>
      <c r="AQ39" s="1">
        <v>46108</v>
      </c>
      <c r="AR39" s="48" t="e">
        <v>#N/A</v>
      </c>
      <c r="AS39">
        <v>5695</v>
      </c>
      <c r="AT39">
        <v>100</v>
      </c>
      <c r="AU39" t="s">
        <v>841</v>
      </c>
      <c r="AV39">
        <v>4.18</v>
      </c>
      <c r="AW39">
        <v>6.74</v>
      </c>
      <c r="AX39">
        <v>1000</v>
      </c>
      <c r="AY39">
        <v>38</v>
      </c>
      <c r="AZ39">
        <v>29.5</v>
      </c>
      <c r="BA39">
        <v>19.5</v>
      </c>
      <c r="BB39">
        <v>5</v>
      </c>
      <c r="BC39" s="3" t="s">
        <v>839</v>
      </c>
      <c r="BD39" s="16" t="s">
        <v>74</v>
      </c>
      <c r="BE39" t="s">
        <v>75</v>
      </c>
      <c r="BF39" s="49" t="e">
        <v>#N/A</v>
      </c>
      <c r="BG39" s="50" t="s">
        <v>75</v>
      </c>
      <c r="BH39" s="50" t="s">
        <v>75</v>
      </c>
      <c r="BI39" s="50" t="s">
        <v>75</v>
      </c>
    </row>
    <row r="40" spans="1:61" ht="15" x14ac:dyDescent="0.25">
      <c r="A40" s="1">
        <v>45997</v>
      </c>
      <c r="B40" t="s">
        <v>458</v>
      </c>
      <c r="C40" s="10" t="s">
        <v>459</v>
      </c>
      <c r="D40" s="10" t="s">
        <v>460</v>
      </c>
      <c r="E40" t="s">
        <v>1009</v>
      </c>
      <c r="F40" t="s">
        <v>62</v>
      </c>
      <c r="G40" s="39"/>
      <c r="H40" s="10" t="s">
        <v>571</v>
      </c>
      <c r="I40" t="s">
        <v>1010</v>
      </c>
      <c r="J40" s="54">
        <v>43</v>
      </c>
      <c r="K40" s="4">
        <v>46153</v>
      </c>
      <c r="L40" s="40">
        <v>0</v>
      </c>
      <c r="M40">
        <v>43</v>
      </c>
      <c r="N40" s="5">
        <v>3.9119999999999999</v>
      </c>
      <c r="O40">
        <v>168.22</v>
      </c>
      <c r="P40" t="s">
        <v>14</v>
      </c>
      <c r="Q40" s="6"/>
      <c r="R40" s="41">
        <v>2.9940000000000001E-2</v>
      </c>
      <c r="S40" s="42">
        <v>1.28742</v>
      </c>
      <c r="T40" s="42">
        <v>390</v>
      </c>
      <c r="U40" s="43">
        <v>1.3782051282051282E-2</v>
      </c>
      <c r="V40" s="44">
        <v>46171</v>
      </c>
      <c r="W40" s="45">
        <v>46186</v>
      </c>
      <c r="X40" s="46" t="s">
        <v>66</v>
      </c>
      <c r="Y40" s="44">
        <v>46161</v>
      </c>
      <c r="Z40" s="44">
        <v>46164</v>
      </c>
      <c r="AA40" s="46" t="s">
        <v>66</v>
      </c>
      <c r="AB40" s="47">
        <v>-22</v>
      </c>
      <c r="AC40" s="1">
        <v>46164</v>
      </c>
      <c r="AD40" s="1">
        <v>46164</v>
      </c>
      <c r="AE40" s="3">
        <v>0</v>
      </c>
      <c r="AF40" s="3" t="s">
        <v>68</v>
      </c>
      <c r="AG40" s="3" t="s">
        <v>68</v>
      </c>
      <c r="AH40" s="3">
        <v>107.5</v>
      </c>
      <c r="AI40" s="3">
        <v>23.857142857142858</v>
      </c>
      <c r="AJ40"/>
      <c r="AK40" t="s">
        <v>69</v>
      </c>
      <c r="AL40" t="s">
        <v>70</v>
      </c>
      <c r="AM40" t="s">
        <v>71</v>
      </c>
      <c r="AN40" t="s">
        <v>72</v>
      </c>
      <c r="AO40"/>
      <c r="AP40" s="10" t="s">
        <v>455</v>
      </c>
      <c r="AQ40" s="10">
        <v>46025</v>
      </c>
      <c r="AR40" s="15" t="e">
        <v>#N/A</v>
      </c>
      <c r="AS40">
        <v>4366</v>
      </c>
      <c r="AT40">
        <v>100</v>
      </c>
      <c r="AU40" t="s">
        <v>1011</v>
      </c>
      <c r="AV40">
        <v>10.3</v>
      </c>
      <c r="AW40">
        <v>6.74</v>
      </c>
      <c r="AX40">
        <v>500</v>
      </c>
      <c r="AY40">
        <v>38</v>
      </c>
      <c r="AZ40">
        <v>29.5</v>
      </c>
      <c r="BA40">
        <v>19.5</v>
      </c>
      <c r="BB40">
        <v>1</v>
      </c>
      <c r="BC40" t="s">
        <v>1009</v>
      </c>
      <c r="BD40" s="16" t="s">
        <v>1012</v>
      </c>
      <c r="BE40" t="s">
        <v>75</v>
      </c>
      <c r="BF40" s="49" t="e">
        <v>#N/A</v>
      </c>
      <c r="BG40" s="50" t="s">
        <v>75</v>
      </c>
      <c r="BH40" s="50" t="s">
        <v>75</v>
      </c>
      <c r="BI40" s="50" t="s">
        <v>75</v>
      </c>
    </row>
    <row r="41" spans="1:61" ht="15" x14ac:dyDescent="0.25">
      <c r="A41" s="1">
        <v>46076</v>
      </c>
      <c r="B41" t="s">
        <v>1013</v>
      </c>
      <c r="C41" s="10" t="s">
        <v>1014</v>
      </c>
      <c r="D41" s="10" t="s">
        <v>1015</v>
      </c>
      <c r="E41" t="s">
        <v>1016</v>
      </c>
      <c r="F41" t="s">
        <v>62</v>
      </c>
      <c r="G41" s="39"/>
      <c r="H41" s="10" t="s">
        <v>571</v>
      </c>
      <c r="I41" t="s">
        <v>1017</v>
      </c>
      <c r="J41" s="54">
        <v>166</v>
      </c>
      <c r="K41" s="4">
        <v>46153</v>
      </c>
      <c r="L41">
        <v>0</v>
      </c>
      <c r="M41">
        <v>166</v>
      </c>
      <c r="N41" s="5">
        <v>3.4929999999999999</v>
      </c>
      <c r="O41">
        <v>579.84</v>
      </c>
      <c r="P41" t="s">
        <v>14</v>
      </c>
      <c r="Q41" s="6"/>
      <c r="R41" s="41">
        <v>3.9309999999999998E-2</v>
      </c>
      <c r="S41" s="42">
        <v>6.5254599999999998</v>
      </c>
      <c r="T41" s="42">
        <v>360</v>
      </c>
      <c r="U41" s="43">
        <v>5.7638888888888892E-2</v>
      </c>
      <c r="V41" s="44" t="s">
        <v>463</v>
      </c>
      <c r="W41" s="45" t="s">
        <v>463</v>
      </c>
      <c r="X41" s="46" t="s">
        <v>280</v>
      </c>
      <c r="Y41" s="44">
        <v>46133</v>
      </c>
      <c r="Z41" s="44">
        <v>46164</v>
      </c>
      <c r="AA41" s="46" t="s">
        <v>66</v>
      </c>
      <c r="AB41" s="47" t="s">
        <v>464</v>
      </c>
      <c r="AC41" s="1">
        <v>46129</v>
      </c>
      <c r="AD41" s="1">
        <v>46129</v>
      </c>
      <c r="AE41" s="3">
        <v>-35</v>
      </c>
      <c r="AF41" t="s">
        <v>69</v>
      </c>
      <c r="AG41" s="3" t="s">
        <v>69</v>
      </c>
      <c r="AH41" s="3">
        <v>28.5</v>
      </c>
      <c r="AI41" s="3">
        <v>12.571428571428571</v>
      </c>
      <c r="AJ41"/>
      <c r="AK41" t="s">
        <v>69</v>
      </c>
      <c r="AL41" t="s">
        <v>80</v>
      </c>
      <c r="AM41"/>
      <c r="AN41" t="s">
        <v>72</v>
      </c>
      <c r="AO41" t="s">
        <v>62</v>
      </c>
      <c r="AP41" s="10" t="s">
        <v>455</v>
      </c>
      <c r="AQ41" s="10">
        <v>46104</v>
      </c>
      <c r="AR41" s="15" t="e">
        <v>#N/A</v>
      </c>
      <c r="AS41">
        <v>5314</v>
      </c>
      <c r="AT41">
        <v>100</v>
      </c>
      <c r="AU41" t="s">
        <v>1018</v>
      </c>
      <c r="AV41">
        <v>18.260000000000002</v>
      </c>
      <c r="AW41">
        <v>12.99</v>
      </c>
      <c r="AX41">
        <v>600</v>
      </c>
      <c r="AY41">
        <v>36</v>
      </c>
      <c r="AZ41">
        <v>34</v>
      </c>
      <c r="BA41">
        <v>24.5</v>
      </c>
      <c r="BB41">
        <v>3</v>
      </c>
      <c r="BC41" t="s">
        <v>1016</v>
      </c>
      <c r="BD41" s="16" t="s">
        <v>74</v>
      </c>
      <c r="BE41" t="s">
        <v>75</v>
      </c>
      <c r="BF41" s="49" t="e">
        <v>#N/A</v>
      </c>
      <c r="BG41" s="50" t="s">
        <v>75</v>
      </c>
      <c r="BH41" s="50" t="s">
        <v>1014</v>
      </c>
      <c r="BI41" s="50" t="s">
        <v>75</v>
      </c>
    </row>
    <row r="42" spans="1:61" ht="15" x14ac:dyDescent="0.25">
      <c r="A42" s="1">
        <v>46086</v>
      </c>
      <c r="B42" t="s">
        <v>712</v>
      </c>
      <c r="C42" t="s">
        <v>713</v>
      </c>
      <c r="D42" t="s">
        <v>713</v>
      </c>
      <c r="E42" t="s">
        <v>714</v>
      </c>
      <c r="F42" t="s">
        <v>62</v>
      </c>
      <c r="G42" s="39"/>
      <c r="H42" s="10" t="s">
        <v>571</v>
      </c>
      <c r="I42" t="s">
        <v>715</v>
      </c>
      <c r="J42">
        <v>1000</v>
      </c>
      <c r="K42" s="4">
        <v>46153</v>
      </c>
      <c r="L42" s="40">
        <v>0</v>
      </c>
      <c r="M42" s="40">
        <v>1000</v>
      </c>
      <c r="N42" s="5">
        <v>0.73799999999999999</v>
      </c>
      <c r="O42">
        <v>738</v>
      </c>
      <c r="P42" t="s">
        <v>65</v>
      </c>
      <c r="Q42" s="6"/>
      <c r="R42" s="41">
        <v>7.0800000000000004E-3</v>
      </c>
      <c r="S42" s="42">
        <v>7.08</v>
      </c>
      <c r="T42" s="42">
        <v>430</v>
      </c>
      <c r="U42" s="43">
        <v>0.29069767441860467</v>
      </c>
      <c r="V42" s="44">
        <v>46131</v>
      </c>
      <c r="W42" s="45">
        <v>46146</v>
      </c>
      <c r="X42" s="46" t="s">
        <v>66</v>
      </c>
      <c r="Y42" s="44">
        <v>46161</v>
      </c>
      <c r="Z42" s="44">
        <v>46164</v>
      </c>
      <c r="AA42" s="46" t="s">
        <v>66</v>
      </c>
      <c r="AB42" s="47">
        <v>18</v>
      </c>
      <c r="AC42" s="1">
        <v>46171</v>
      </c>
      <c r="AD42" s="1">
        <v>46171</v>
      </c>
      <c r="AE42" s="3">
        <v>7</v>
      </c>
      <c r="AF42" s="3" t="s">
        <v>68</v>
      </c>
      <c r="AG42" s="3" t="s">
        <v>68</v>
      </c>
      <c r="AH42" s="3">
        <v>18.5</v>
      </c>
      <c r="AI42" s="3">
        <v>11.142857142857142</v>
      </c>
      <c r="AJ42"/>
      <c r="AK42" s="3" t="s">
        <v>69</v>
      </c>
      <c r="AL42" t="s">
        <v>70</v>
      </c>
      <c r="AM42"/>
      <c r="AN42" t="s">
        <v>72</v>
      </c>
      <c r="AO42" t="s">
        <v>62</v>
      </c>
      <c r="AP42" s="10"/>
      <c r="AQ42" s="1">
        <v>46114</v>
      </c>
      <c r="AR42" s="48" t="e">
        <v>#N/A</v>
      </c>
      <c r="AS42">
        <v>5584</v>
      </c>
      <c r="AT42">
        <v>100</v>
      </c>
      <c r="AU42" t="s">
        <v>716</v>
      </c>
      <c r="AV42">
        <v>0.28999999999999998</v>
      </c>
      <c r="AW42">
        <v>2.67</v>
      </c>
      <c r="AX42">
        <v>1000</v>
      </c>
      <c r="AY42">
        <v>38</v>
      </c>
      <c r="AZ42">
        <v>29.5</v>
      </c>
      <c r="BA42">
        <v>19.5</v>
      </c>
      <c r="BB42">
        <v>1</v>
      </c>
      <c r="BC42" s="3" t="s">
        <v>714</v>
      </c>
      <c r="BD42" t="s">
        <v>74</v>
      </c>
      <c r="BE42" t="s">
        <v>75</v>
      </c>
      <c r="BF42" s="49" t="e">
        <v>#N/A</v>
      </c>
      <c r="BG42" s="50" t="s">
        <v>75</v>
      </c>
      <c r="BH42" s="50" t="s">
        <v>75</v>
      </c>
      <c r="BI42" s="50" t="s">
        <v>75</v>
      </c>
    </row>
    <row r="43" spans="1:61" ht="15" x14ac:dyDescent="0.25">
      <c r="A43" s="1">
        <v>46086</v>
      </c>
      <c r="B43" t="s">
        <v>726</v>
      </c>
      <c r="C43" t="s">
        <v>727</v>
      </c>
      <c r="D43" t="s">
        <v>727</v>
      </c>
      <c r="E43" t="s">
        <v>728</v>
      </c>
      <c r="F43" t="s">
        <v>62</v>
      </c>
      <c r="G43" s="39"/>
      <c r="H43" s="10" t="s">
        <v>551</v>
      </c>
      <c r="I43" t="s">
        <v>729</v>
      </c>
      <c r="J43">
        <v>2400</v>
      </c>
      <c r="K43" s="4" t="s">
        <v>64</v>
      </c>
      <c r="L43" s="40">
        <v>0</v>
      </c>
      <c r="M43" s="40">
        <v>2400</v>
      </c>
      <c r="N43" s="5">
        <v>0.45700000000000002</v>
      </c>
      <c r="O43">
        <v>1096.8</v>
      </c>
      <c r="P43" t="s">
        <v>65</v>
      </c>
      <c r="Q43" s="6"/>
      <c r="R43" s="41">
        <v>7.6600000000000001E-3</v>
      </c>
      <c r="S43" s="42">
        <v>18.384</v>
      </c>
      <c r="T43" s="42">
        <v>300</v>
      </c>
      <c r="U43" s="43">
        <v>1</v>
      </c>
      <c r="V43" s="44">
        <v>46131</v>
      </c>
      <c r="W43" s="45">
        <v>46146</v>
      </c>
      <c r="X43" s="46" t="s">
        <v>66</v>
      </c>
      <c r="Y43" s="44">
        <v>46161</v>
      </c>
      <c r="Z43" s="44">
        <v>46164</v>
      </c>
      <c r="AA43" s="46" t="s">
        <v>66</v>
      </c>
      <c r="AB43" s="47">
        <v>18</v>
      </c>
      <c r="AC43" s="1">
        <v>46171</v>
      </c>
      <c r="AD43" s="1">
        <v>46171</v>
      </c>
      <c r="AE43" s="3">
        <v>7</v>
      </c>
      <c r="AF43" s="3" t="s">
        <v>68</v>
      </c>
      <c r="AG43" s="3" t="s">
        <v>68</v>
      </c>
      <c r="AH43" s="3">
        <v>18.5</v>
      </c>
      <c r="AI43" s="3">
        <v>11.142857142857142</v>
      </c>
      <c r="AJ43"/>
      <c r="AK43" s="3" t="s">
        <v>69</v>
      </c>
      <c r="AL43" t="s">
        <v>70</v>
      </c>
      <c r="AM43"/>
      <c r="AN43" t="s">
        <v>72</v>
      </c>
      <c r="AO43" t="s">
        <v>62</v>
      </c>
      <c r="AP43" s="10"/>
      <c r="AQ43" s="1">
        <v>46114</v>
      </c>
      <c r="AR43" s="48" t="e">
        <v>#N/A</v>
      </c>
      <c r="AS43">
        <v>5575</v>
      </c>
      <c r="AT43">
        <v>100</v>
      </c>
      <c r="AU43" t="s">
        <v>730</v>
      </c>
      <c r="AV43">
        <v>0.38</v>
      </c>
      <c r="AW43">
        <v>1.65</v>
      </c>
      <c r="AX43">
        <v>1600</v>
      </c>
      <c r="AY43">
        <v>36.5</v>
      </c>
      <c r="AZ43">
        <v>35</v>
      </c>
      <c r="BA43">
        <v>8</v>
      </c>
      <c r="BB43">
        <v>2</v>
      </c>
      <c r="BC43" s="3" t="s">
        <v>728</v>
      </c>
      <c r="BD43" t="s">
        <v>731</v>
      </c>
      <c r="BE43" t="s">
        <v>75</v>
      </c>
      <c r="BF43" s="49" t="e">
        <v>#N/A</v>
      </c>
      <c r="BG43" s="50" t="s">
        <v>75</v>
      </c>
      <c r="BH43" s="50" t="s">
        <v>75</v>
      </c>
      <c r="BI43" s="50" t="s">
        <v>727</v>
      </c>
    </row>
    <row r="44" spans="1:61" ht="15" x14ac:dyDescent="0.25">
      <c r="A44" s="1">
        <v>46087</v>
      </c>
      <c r="B44" t="s">
        <v>755</v>
      </c>
      <c r="C44" t="s">
        <v>756</v>
      </c>
      <c r="D44" t="s">
        <v>756</v>
      </c>
      <c r="E44" t="s">
        <v>757</v>
      </c>
      <c r="F44" t="s">
        <v>62</v>
      </c>
      <c r="G44" s="39"/>
      <c r="H44" s="10" t="s">
        <v>551</v>
      </c>
      <c r="I44" t="s">
        <v>758</v>
      </c>
      <c r="J44">
        <v>1000</v>
      </c>
      <c r="K44" s="4" t="s">
        <v>64</v>
      </c>
      <c r="L44" s="40">
        <v>0</v>
      </c>
      <c r="M44" s="40">
        <v>1000</v>
      </c>
      <c r="N44">
        <v>0.53500000000000003</v>
      </c>
      <c r="O44">
        <v>535</v>
      </c>
      <c r="P44" t="s">
        <v>65</v>
      </c>
      <c r="Q44" s="6"/>
      <c r="R44" s="41">
        <v>1.3690000000000001E-2</v>
      </c>
      <c r="S44" s="42">
        <v>13.690000000000001</v>
      </c>
      <c r="T44" s="42">
        <v>360</v>
      </c>
      <c r="U44" s="43">
        <v>0.34722222222222221</v>
      </c>
      <c r="V44" s="44">
        <v>46120</v>
      </c>
      <c r="W44" s="45">
        <v>46135</v>
      </c>
      <c r="X44" s="46" t="s">
        <v>66</v>
      </c>
      <c r="Y44" s="44">
        <v>46161</v>
      </c>
      <c r="Z44" s="44">
        <v>46164</v>
      </c>
      <c r="AA44" s="46" t="s">
        <v>66</v>
      </c>
      <c r="AB44" s="47">
        <v>29</v>
      </c>
      <c r="AC44" s="1">
        <v>46130</v>
      </c>
      <c r="AD44" s="1">
        <v>46157</v>
      </c>
      <c r="AE44" s="3">
        <v>-7</v>
      </c>
      <c r="AF44" s="3" t="s">
        <v>69</v>
      </c>
      <c r="AG44" s="3" t="s">
        <v>69</v>
      </c>
      <c r="AH44" s="3">
        <v>17.5</v>
      </c>
      <c r="AI44" s="3">
        <v>11</v>
      </c>
      <c r="AJ44"/>
      <c r="AK44" s="3" t="s">
        <v>69</v>
      </c>
      <c r="AL44" t="s">
        <v>80</v>
      </c>
      <c r="AM44"/>
      <c r="AN44" t="s">
        <v>72</v>
      </c>
      <c r="AO44" t="s">
        <v>62</v>
      </c>
      <c r="AP44" s="10"/>
      <c r="AQ44" s="1">
        <v>46032</v>
      </c>
      <c r="AR44" s="48" t="e">
        <v>#N/A</v>
      </c>
      <c r="AS44">
        <v>5610</v>
      </c>
      <c r="AT44">
        <v>100</v>
      </c>
      <c r="AU44" t="s">
        <v>759</v>
      </c>
      <c r="AV44">
        <v>0.18</v>
      </c>
      <c r="AW44">
        <v>2.2000000000000002</v>
      </c>
      <c r="AX44">
        <v>4000</v>
      </c>
      <c r="AY44">
        <v>36.5</v>
      </c>
      <c r="AZ44">
        <v>35</v>
      </c>
      <c r="BA44">
        <v>8</v>
      </c>
      <c r="BB44">
        <v>1</v>
      </c>
      <c r="BC44" s="3" t="s">
        <v>760</v>
      </c>
      <c r="BD44" t="s">
        <v>309</v>
      </c>
      <c r="BE44" t="s">
        <v>75</v>
      </c>
      <c r="BF44" s="49" t="e">
        <v>#N/A</v>
      </c>
      <c r="BG44" s="50" t="s">
        <v>75</v>
      </c>
      <c r="BH44" s="50" t="s">
        <v>75</v>
      </c>
      <c r="BI44" s="50" t="s">
        <v>756</v>
      </c>
    </row>
    <row r="45" spans="1:61" ht="15" x14ac:dyDescent="0.25">
      <c r="A45" s="1">
        <v>46098</v>
      </c>
      <c r="B45" t="s">
        <v>982</v>
      </c>
      <c r="C45" s="10" t="s">
        <v>983</v>
      </c>
      <c r="D45" s="10" t="s">
        <v>983</v>
      </c>
      <c r="E45" t="s">
        <v>984</v>
      </c>
      <c r="F45" t="s">
        <v>62</v>
      </c>
      <c r="G45" s="39"/>
      <c r="H45" s="10" t="s">
        <v>571</v>
      </c>
      <c r="I45" t="s">
        <v>985</v>
      </c>
      <c r="J45" s="54">
        <v>10</v>
      </c>
      <c r="K45" s="4">
        <v>46153</v>
      </c>
      <c r="L45" s="40">
        <v>0</v>
      </c>
      <c r="M45" s="40">
        <v>10</v>
      </c>
      <c r="N45" s="5">
        <v>1.36</v>
      </c>
      <c r="O45">
        <v>13.6</v>
      </c>
      <c r="P45" t="s">
        <v>986</v>
      </c>
      <c r="Q45" s="6"/>
      <c r="R45" s="41">
        <v>8.6400000000000001E-3</v>
      </c>
      <c r="S45" s="42">
        <v>8.6400000000000005E-2</v>
      </c>
      <c r="T45" s="42">
        <v>400</v>
      </c>
      <c r="U45" s="43">
        <v>3.1250000000000002E-3</v>
      </c>
      <c r="V45" s="44">
        <v>46140</v>
      </c>
      <c r="W45" s="45">
        <v>46155</v>
      </c>
      <c r="X45" s="46" t="s">
        <v>280</v>
      </c>
      <c r="Y45" s="44">
        <v>46161</v>
      </c>
      <c r="Z45" s="44">
        <v>46164</v>
      </c>
      <c r="AA45" s="46" t="s">
        <v>66</v>
      </c>
      <c r="AB45" s="47">
        <v>9</v>
      </c>
      <c r="AC45" s="1">
        <v>46192</v>
      </c>
      <c r="AD45" s="1">
        <v>46192</v>
      </c>
      <c r="AE45" s="3">
        <v>28</v>
      </c>
      <c r="AF45" s="3" t="s">
        <v>68</v>
      </c>
      <c r="AG45" s="3" t="s">
        <v>68</v>
      </c>
      <c r="AH45" s="3">
        <v>6.5</v>
      </c>
      <c r="AI45" s="3">
        <v>9.4285714285714288</v>
      </c>
      <c r="AJ45"/>
      <c r="AK45" s="3" t="s">
        <v>69</v>
      </c>
      <c r="AL45" t="s">
        <v>70</v>
      </c>
      <c r="AM45"/>
      <c r="AN45" t="s">
        <v>72</v>
      </c>
      <c r="AO45"/>
      <c r="AP45" s="10"/>
      <c r="AQ45" s="1">
        <v>46126</v>
      </c>
      <c r="AR45" s="48" t="e">
        <v>#N/A</v>
      </c>
      <c r="AS45">
        <v>5838</v>
      </c>
      <c r="AT45">
        <v>100</v>
      </c>
      <c r="AU45" t="s">
        <v>987</v>
      </c>
      <c r="AV45">
        <v>0.182</v>
      </c>
      <c r="AW45">
        <v>2.16</v>
      </c>
      <c r="AX45">
        <v>8800</v>
      </c>
      <c r="AY45">
        <v>36.5</v>
      </c>
      <c r="AZ45">
        <v>35</v>
      </c>
      <c r="BA45">
        <v>8</v>
      </c>
      <c r="BB45">
        <v>1</v>
      </c>
      <c r="BC45" s="3" t="s">
        <v>984</v>
      </c>
      <c r="BD45" s="16" t="s">
        <v>988</v>
      </c>
      <c r="BE45" t="s">
        <v>75</v>
      </c>
      <c r="BF45" s="49" t="e">
        <v>#N/A</v>
      </c>
      <c r="BG45" s="50" t="s">
        <v>75</v>
      </c>
      <c r="BH45" s="50" t="s">
        <v>75</v>
      </c>
      <c r="BI45" s="50" t="s">
        <v>983</v>
      </c>
    </row>
    <row r="46" spans="1:61" ht="15" x14ac:dyDescent="0.25">
      <c r="A46" s="1">
        <v>46141</v>
      </c>
      <c r="B46" t="s">
        <v>440</v>
      </c>
      <c r="C46" s="10" t="s">
        <v>441</v>
      </c>
      <c r="D46" s="10" t="s">
        <v>441</v>
      </c>
      <c r="E46" t="s">
        <v>1026</v>
      </c>
      <c r="F46" t="s">
        <v>423</v>
      </c>
      <c r="G46" s="39"/>
      <c r="H46" s="10" t="s">
        <v>571</v>
      </c>
      <c r="I46" t="s">
        <v>1027</v>
      </c>
      <c r="J46" s="54">
        <v>100</v>
      </c>
      <c r="K46" s="4">
        <v>46153</v>
      </c>
      <c r="L46" s="40">
        <v>0</v>
      </c>
      <c r="M46">
        <v>100</v>
      </c>
      <c r="N46" s="5">
        <v>1.1969999999999998</v>
      </c>
      <c r="O46">
        <v>119.7</v>
      </c>
      <c r="P46" t="s">
        <v>65</v>
      </c>
      <c r="Q46"/>
      <c r="R46" s="41">
        <v>1.227E-2</v>
      </c>
      <c r="S46" s="42">
        <v>1.2269999999999999</v>
      </c>
      <c r="T46" s="42">
        <v>360</v>
      </c>
      <c r="U46" s="43">
        <v>3.4722222222222224E-2</v>
      </c>
      <c r="V46" s="44">
        <v>46028</v>
      </c>
      <c r="W46" s="45">
        <v>46043</v>
      </c>
      <c r="X46" s="46" t="s">
        <v>484</v>
      </c>
      <c r="Y46" s="44">
        <v>46161</v>
      </c>
      <c r="Z46" s="44">
        <v>46164</v>
      </c>
      <c r="AA46" s="46" t="s">
        <v>66</v>
      </c>
      <c r="AB46" s="47">
        <v>121</v>
      </c>
      <c r="AC46" s="1">
        <v>46227</v>
      </c>
      <c r="AD46" s="1">
        <v>46227</v>
      </c>
      <c r="AE46" s="3">
        <v>63</v>
      </c>
      <c r="AF46" t="s">
        <v>68</v>
      </c>
      <c r="AG46" s="3" t="s">
        <v>68</v>
      </c>
      <c r="AH46" s="3">
        <v>-36.5</v>
      </c>
      <c r="AI46" s="3">
        <v>3.2857142857142856</v>
      </c>
      <c r="AJ46"/>
      <c r="AK46" t="s">
        <v>68</v>
      </c>
      <c r="AL46" t="s">
        <v>70</v>
      </c>
      <c r="AM46"/>
      <c r="AN46" t="s">
        <v>72</v>
      </c>
      <c r="AO46"/>
      <c r="AP46" s="10"/>
      <c r="AQ46" s="1">
        <v>46169</v>
      </c>
      <c r="AR46" s="48" t="e">
        <v>#N/A</v>
      </c>
      <c r="AS46">
        <v>6577</v>
      </c>
      <c r="AT46">
        <v>100</v>
      </c>
      <c r="AU46" t="s">
        <v>1028</v>
      </c>
      <c r="AV46">
        <v>0.3</v>
      </c>
      <c r="AW46">
        <v>1.27</v>
      </c>
      <c r="AX46">
        <v>1000</v>
      </c>
      <c r="AY46">
        <v>30</v>
      </c>
      <c r="AZ46">
        <v>23</v>
      </c>
      <c r="BA46">
        <v>15</v>
      </c>
      <c r="BB46">
        <v>1</v>
      </c>
      <c r="BC46" s="16" t="s">
        <v>1026</v>
      </c>
      <c r="BD46" s="16" t="s">
        <v>445</v>
      </c>
      <c r="BE46" t="s">
        <v>75</v>
      </c>
      <c r="BF46" s="49" t="e">
        <v>#N/A</v>
      </c>
      <c r="BG46" s="50" t="s">
        <v>75</v>
      </c>
      <c r="BH46" s="50" t="s">
        <v>75</v>
      </c>
      <c r="BI46" s="50" t="s">
        <v>75</v>
      </c>
    </row>
    <row r="47" spans="1:61" ht="15" x14ac:dyDescent="0.25">
      <c r="A47" s="1">
        <v>46076</v>
      </c>
      <c r="B47" t="s">
        <v>958</v>
      </c>
      <c r="C47" s="51" t="s">
        <v>959</v>
      </c>
      <c r="D47" s="10" t="s">
        <v>960</v>
      </c>
      <c r="E47" t="s">
        <v>961</v>
      </c>
      <c r="F47" t="s">
        <v>62</v>
      </c>
      <c r="G47" s="39"/>
      <c r="H47" s="10" t="s">
        <v>551</v>
      </c>
      <c r="I47" t="s">
        <v>962</v>
      </c>
      <c r="J47">
        <v>2500</v>
      </c>
      <c r="K47" s="4" t="s">
        <v>64</v>
      </c>
      <c r="L47" s="40">
        <v>0</v>
      </c>
      <c r="M47" s="40">
        <v>2500</v>
      </c>
      <c r="N47" s="5">
        <v>2.95</v>
      </c>
      <c r="O47">
        <v>7375</v>
      </c>
      <c r="P47" t="s">
        <v>65</v>
      </c>
      <c r="Q47" s="6"/>
      <c r="R47" s="41">
        <v>2.4809999999999999E-2</v>
      </c>
      <c r="S47" s="42">
        <v>62.024999999999999</v>
      </c>
      <c r="T47" s="42">
        <v>200</v>
      </c>
      <c r="U47" s="43">
        <v>1.5625</v>
      </c>
      <c r="V47" s="44">
        <v>46129</v>
      </c>
      <c r="W47" s="45">
        <v>46144</v>
      </c>
      <c r="X47" s="46" t="s">
        <v>66</v>
      </c>
      <c r="Y47" s="44">
        <v>46161</v>
      </c>
      <c r="Z47" s="85">
        <v>46164</v>
      </c>
      <c r="AA47" s="46" t="s">
        <v>66</v>
      </c>
      <c r="AB47" s="47">
        <v>20</v>
      </c>
      <c r="AC47" s="1">
        <v>46164</v>
      </c>
      <c r="AD47" s="1">
        <v>46164</v>
      </c>
      <c r="AE47" s="3">
        <v>0</v>
      </c>
      <c r="AF47" s="3" t="s">
        <v>68</v>
      </c>
      <c r="AG47" s="3" t="s">
        <v>68</v>
      </c>
      <c r="AH47" s="3">
        <v>28.5</v>
      </c>
      <c r="AI47" s="3">
        <v>12.571428571428571</v>
      </c>
      <c r="AJ47"/>
      <c r="AK47" s="3" t="s">
        <v>69</v>
      </c>
      <c r="AL47" t="s">
        <v>70</v>
      </c>
      <c r="AM47" t="s">
        <v>71</v>
      </c>
      <c r="AN47" t="s">
        <v>72</v>
      </c>
      <c r="AO47" t="s">
        <v>62</v>
      </c>
      <c r="AP47" s="10"/>
      <c r="AQ47" s="1">
        <v>46104</v>
      </c>
      <c r="AR47" s="48" t="e">
        <v>#N/A</v>
      </c>
      <c r="AS47">
        <v>5382</v>
      </c>
      <c r="AT47">
        <v>100</v>
      </c>
      <c r="AU47" t="s">
        <v>963</v>
      </c>
      <c r="AV47">
        <v>7.52</v>
      </c>
      <c r="AW47">
        <v>9.74</v>
      </c>
      <c r="AX47">
        <v>1000</v>
      </c>
      <c r="AY47">
        <v>38</v>
      </c>
      <c r="AZ47">
        <v>29.5</v>
      </c>
      <c r="BA47">
        <v>19.5</v>
      </c>
      <c r="BB47">
        <v>3</v>
      </c>
      <c r="BC47" s="3" t="s">
        <v>961</v>
      </c>
      <c r="BD47" t="s">
        <v>74</v>
      </c>
      <c r="BE47" t="s">
        <v>100</v>
      </c>
      <c r="BF47" s="49" t="e">
        <v>#N/A</v>
      </c>
      <c r="BG47" s="50" t="s">
        <v>75</v>
      </c>
      <c r="BH47" s="50" t="s">
        <v>75</v>
      </c>
      <c r="BI47" s="50" t="s">
        <v>75</v>
      </c>
    </row>
    <row r="48" spans="1:61" ht="15" x14ac:dyDescent="0.25">
      <c r="A48" s="1">
        <v>46087</v>
      </c>
      <c r="B48" t="s">
        <v>749</v>
      </c>
      <c r="C48" t="s">
        <v>750</v>
      </c>
      <c r="D48">
        <v>252102</v>
      </c>
      <c r="E48" t="s">
        <v>751</v>
      </c>
      <c r="F48" t="s">
        <v>62</v>
      </c>
      <c r="G48" s="39"/>
      <c r="H48" s="10" t="s">
        <v>551</v>
      </c>
      <c r="I48" t="s">
        <v>752</v>
      </c>
      <c r="J48">
        <v>6500</v>
      </c>
      <c r="K48" s="4" t="s">
        <v>64</v>
      </c>
      <c r="L48" s="40">
        <v>0</v>
      </c>
      <c r="M48" s="40">
        <v>6500</v>
      </c>
      <c r="N48">
        <v>0.83399999999999996</v>
      </c>
      <c r="O48">
        <v>5421</v>
      </c>
      <c r="P48" t="s">
        <v>65</v>
      </c>
      <c r="Q48" s="6"/>
      <c r="R48" s="41">
        <v>1.1599999999999999E-2</v>
      </c>
      <c r="S48" s="42">
        <v>75.399999999999991</v>
      </c>
      <c r="T48" s="42">
        <v>450</v>
      </c>
      <c r="U48" s="43">
        <v>1.8055555555555556</v>
      </c>
      <c r="V48" s="44">
        <v>46126</v>
      </c>
      <c r="W48" s="45">
        <v>46141</v>
      </c>
      <c r="X48" s="46" t="s">
        <v>66</v>
      </c>
      <c r="Y48" s="44">
        <v>46161</v>
      </c>
      <c r="Z48" s="44">
        <v>46164</v>
      </c>
      <c r="AA48" s="46" t="s">
        <v>66</v>
      </c>
      <c r="AB48" s="47">
        <v>23</v>
      </c>
      <c r="AC48" s="1">
        <v>46171</v>
      </c>
      <c r="AD48" s="1">
        <v>46171</v>
      </c>
      <c r="AE48" s="3">
        <v>7</v>
      </c>
      <c r="AF48" s="3" t="s">
        <v>68</v>
      </c>
      <c r="AG48" s="3" t="s">
        <v>68</v>
      </c>
      <c r="AH48" s="3">
        <v>17.5</v>
      </c>
      <c r="AI48" s="3">
        <v>11</v>
      </c>
      <c r="AJ48"/>
      <c r="AK48" s="3" t="s">
        <v>69</v>
      </c>
      <c r="AL48" t="s">
        <v>70</v>
      </c>
      <c r="AM48"/>
      <c r="AN48" t="s">
        <v>72</v>
      </c>
      <c r="AO48" t="s">
        <v>62</v>
      </c>
      <c r="AP48" s="10"/>
      <c r="AQ48" s="1">
        <v>46026</v>
      </c>
      <c r="AR48" s="48" t="e">
        <v>#N/A</v>
      </c>
      <c r="AS48">
        <v>5616</v>
      </c>
      <c r="AT48">
        <v>100</v>
      </c>
      <c r="AU48" t="s">
        <v>753</v>
      </c>
      <c r="AV48">
        <v>0</v>
      </c>
      <c r="AW48">
        <v>0</v>
      </c>
      <c r="AX48">
        <v>1000</v>
      </c>
      <c r="AY48">
        <v>38</v>
      </c>
      <c r="AZ48">
        <v>29.5</v>
      </c>
      <c r="BA48">
        <v>19.5</v>
      </c>
      <c r="BB48">
        <v>1</v>
      </c>
      <c r="BC48" s="3" t="s">
        <v>754</v>
      </c>
      <c r="BD48" t="s">
        <v>74</v>
      </c>
      <c r="BE48" t="s">
        <v>75</v>
      </c>
      <c r="BF48" s="49" t="e">
        <v>#N/A</v>
      </c>
      <c r="BG48" s="50" t="s">
        <v>75</v>
      </c>
      <c r="BH48" s="50" t="s">
        <v>75</v>
      </c>
      <c r="BI48" s="50" t="s">
        <v>75</v>
      </c>
    </row>
    <row r="49" spans="1:61" ht="15" x14ac:dyDescent="0.25">
      <c r="A49" s="1">
        <v>46091</v>
      </c>
      <c r="B49" t="s">
        <v>163</v>
      </c>
      <c r="C49" t="s">
        <v>164</v>
      </c>
      <c r="D49" s="10">
        <v>112514</v>
      </c>
      <c r="E49" t="s">
        <v>817</v>
      </c>
      <c r="F49" t="s">
        <v>62</v>
      </c>
      <c r="G49" s="39"/>
      <c r="H49" s="10" t="s">
        <v>551</v>
      </c>
      <c r="I49" t="s">
        <v>818</v>
      </c>
      <c r="J49">
        <v>7000</v>
      </c>
      <c r="K49" s="4" t="s">
        <v>64</v>
      </c>
      <c r="L49" s="40">
        <v>0</v>
      </c>
      <c r="M49" s="40">
        <v>7000</v>
      </c>
      <c r="N49" s="5">
        <v>0.72699999999999998</v>
      </c>
      <c r="O49">
        <v>5089</v>
      </c>
      <c r="P49" t="s">
        <v>65</v>
      </c>
      <c r="Q49" s="6"/>
      <c r="R49" s="41">
        <v>1.391E-2</v>
      </c>
      <c r="S49" s="42">
        <v>97.37</v>
      </c>
      <c r="T49" s="42">
        <v>500</v>
      </c>
      <c r="U49" s="43">
        <v>1.75</v>
      </c>
      <c r="V49" s="44">
        <v>46133</v>
      </c>
      <c r="W49" s="45">
        <v>46148</v>
      </c>
      <c r="X49" s="46" t="s">
        <v>66</v>
      </c>
      <c r="Y49" s="44">
        <v>46161</v>
      </c>
      <c r="Z49" s="44">
        <v>46164</v>
      </c>
      <c r="AA49" s="46" t="s">
        <v>66</v>
      </c>
      <c r="AB49" s="47">
        <v>16</v>
      </c>
      <c r="AC49" s="1">
        <v>46164</v>
      </c>
      <c r="AD49" s="1">
        <v>46164</v>
      </c>
      <c r="AE49" s="3">
        <v>0</v>
      </c>
      <c r="AF49" s="3" t="s">
        <v>68</v>
      </c>
      <c r="AG49" s="3" t="s">
        <v>68</v>
      </c>
      <c r="AH49" s="3">
        <v>13.5</v>
      </c>
      <c r="AI49" s="3">
        <v>10.428571428571429</v>
      </c>
      <c r="AJ49"/>
      <c r="AK49" s="3" t="s">
        <v>69</v>
      </c>
      <c r="AL49" t="s">
        <v>70</v>
      </c>
      <c r="AM49" t="s">
        <v>71</v>
      </c>
      <c r="AN49" t="s">
        <v>72</v>
      </c>
      <c r="AO49" t="s">
        <v>62</v>
      </c>
      <c r="AP49" s="10"/>
      <c r="AQ49" s="1">
        <v>46090</v>
      </c>
      <c r="AR49" s="48" t="e">
        <v>#N/A</v>
      </c>
      <c r="AS49">
        <v>5713</v>
      </c>
      <c r="AT49">
        <v>100</v>
      </c>
      <c r="AU49" t="s">
        <v>819</v>
      </c>
      <c r="AV49">
        <v>8.58</v>
      </c>
      <c r="AW49">
        <v>8.81</v>
      </c>
      <c r="AX49">
        <v>800</v>
      </c>
      <c r="AY49">
        <v>38</v>
      </c>
      <c r="AZ49">
        <v>29.5</v>
      </c>
      <c r="BA49">
        <v>19.5</v>
      </c>
      <c r="BB49">
        <v>9</v>
      </c>
      <c r="BC49" s="3" t="s">
        <v>817</v>
      </c>
      <c r="BD49" s="16" t="s">
        <v>74</v>
      </c>
      <c r="BE49" t="s">
        <v>75</v>
      </c>
      <c r="BF49" s="49" t="e">
        <v>#N/A</v>
      </c>
      <c r="BG49" s="50" t="s">
        <v>75</v>
      </c>
      <c r="BH49" s="50" t="s">
        <v>75</v>
      </c>
      <c r="BI49" s="50" t="s">
        <v>75</v>
      </c>
    </row>
    <row r="50" spans="1:61" ht="15" x14ac:dyDescent="0.25">
      <c r="A50" s="1">
        <v>46091</v>
      </c>
      <c r="B50" t="s">
        <v>820</v>
      </c>
      <c r="C50" t="s">
        <v>821</v>
      </c>
      <c r="D50" s="10" t="s">
        <v>822</v>
      </c>
      <c r="E50" t="s">
        <v>823</v>
      </c>
      <c r="F50" t="s">
        <v>62</v>
      </c>
      <c r="G50" s="39"/>
      <c r="H50" s="10" t="s">
        <v>551</v>
      </c>
      <c r="I50" t="s">
        <v>824</v>
      </c>
      <c r="J50">
        <v>14000</v>
      </c>
      <c r="K50" s="4" t="s">
        <v>64</v>
      </c>
      <c r="L50" s="40">
        <v>0</v>
      </c>
      <c r="M50" s="40">
        <v>14000</v>
      </c>
      <c r="N50" s="5">
        <v>0.95099999999999996</v>
      </c>
      <c r="O50">
        <v>13314</v>
      </c>
      <c r="P50" t="s">
        <v>65</v>
      </c>
      <c r="Q50" s="6"/>
      <c r="R50" s="41">
        <v>1.391E-2</v>
      </c>
      <c r="S50" s="42">
        <v>194.74</v>
      </c>
      <c r="T50" s="42">
        <v>500</v>
      </c>
      <c r="U50" s="43">
        <v>3.5</v>
      </c>
      <c r="V50" s="44">
        <v>46133</v>
      </c>
      <c r="W50" s="45">
        <v>46148</v>
      </c>
      <c r="X50" s="46" t="s">
        <v>66</v>
      </c>
      <c r="Y50" s="44">
        <v>46161</v>
      </c>
      <c r="Z50" s="44">
        <v>46164</v>
      </c>
      <c r="AA50" s="46" t="s">
        <v>66</v>
      </c>
      <c r="AB50" s="47">
        <v>16</v>
      </c>
      <c r="AC50" s="1">
        <v>46164</v>
      </c>
      <c r="AD50" s="1">
        <v>46164</v>
      </c>
      <c r="AE50" s="3">
        <v>0</v>
      </c>
      <c r="AF50" s="3" t="s">
        <v>68</v>
      </c>
      <c r="AG50" s="3" t="s">
        <v>68</v>
      </c>
      <c r="AH50" s="3">
        <v>13.5</v>
      </c>
      <c r="AI50" s="3">
        <v>10.428571428571429</v>
      </c>
      <c r="AJ50"/>
      <c r="AK50" s="3" t="s">
        <v>69</v>
      </c>
      <c r="AL50" t="s">
        <v>70</v>
      </c>
      <c r="AM50" t="s">
        <v>71</v>
      </c>
      <c r="AN50" t="s">
        <v>72</v>
      </c>
      <c r="AO50" t="s">
        <v>62</v>
      </c>
      <c r="AP50" s="10"/>
      <c r="AQ50" s="1">
        <v>46098</v>
      </c>
      <c r="AR50" s="48" t="e">
        <v>#N/A</v>
      </c>
      <c r="AS50">
        <v>5705</v>
      </c>
      <c r="AT50">
        <v>100</v>
      </c>
      <c r="AU50" t="s">
        <v>825</v>
      </c>
      <c r="AV50">
        <v>8.5</v>
      </c>
      <c r="AW50">
        <v>14.55</v>
      </c>
      <c r="AX50">
        <v>1400</v>
      </c>
      <c r="AY50">
        <v>36</v>
      </c>
      <c r="AZ50">
        <v>34</v>
      </c>
      <c r="BA50">
        <v>24.5</v>
      </c>
      <c r="BB50">
        <v>10</v>
      </c>
      <c r="BC50" s="3" t="s">
        <v>823</v>
      </c>
      <c r="BD50" s="16" t="s">
        <v>826</v>
      </c>
      <c r="BE50" t="s">
        <v>75</v>
      </c>
      <c r="BF50" s="49" t="e">
        <v>#N/A</v>
      </c>
      <c r="BG50" s="50" t="s">
        <v>75</v>
      </c>
      <c r="BH50" s="50" t="s">
        <v>75</v>
      </c>
      <c r="BI50" s="50" t="s">
        <v>75</v>
      </c>
    </row>
    <row r="51" spans="1:61" ht="15" x14ac:dyDescent="0.25">
      <c r="A51" s="1">
        <v>46091</v>
      </c>
      <c r="B51" t="s">
        <v>827</v>
      </c>
      <c r="C51" t="s">
        <v>656</v>
      </c>
      <c r="D51" s="10" t="s">
        <v>828</v>
      </c>
      <c r="E51" t="s">
        <v>829</v>
      </c>
      <c r="F51" t="s">
        <v>62</v>
      </c>
      <c r="G51" s="39"/>
      <c r="H51" s="10" t="s">
        <v>551</v>
      </c>
      <c r="I51" t="s">
        <v>830</v>
      </c>
      <c r="J51">
        <v>7000</v>
      </c>
      <c r="K51" s="4" t="s">
        <v>64</v>
      </c>
      <c r="L51" s="40">
        <v>0</v>
      </c>
      <c r="M51" s="40">
        <v>7000</v>
      </c>
      <c r="N51" s="5">
        <v>0.63600000000000001</v>
      </c>
      <c r="O51">
        <v>4452</v>
      </c>
      <c r="P51" t="s">
        <v>14</v>
      </c>
      <c r="Q51" s="6"/>
      <c r="R51" s="41">
        <v>1.391E-2</v>
      </c>
      <c r="S51" s="42">
        <v>97.37</v>
      </c>
      <c r="T51" s="42">
        <v>400</v>
      </c>
      <c r="U51" s="43">
        <v>2.1875</v>
      </c>
      <c r="V51" s="44">
        <v>46133</v>
      </c>
      <c r="W51" s="45">
        <v>46148</v>
      </c>
      <c r="X51" s="46" t="s">
        <v>66</v>
      </c>
      <c r="Y51" s="44">
        <v>46161</v>
      </c>
      <c r="Z51" s="44">
        <v>46164</v>
      </c>
      <c r="AA51" s="46" t="s">
        <v>66</v>
      </c>
      <c r="AB51" s="47">
        <v>16</v>
      </c>
      <c r="AC51" s="1">
        <v>46164</v>
      </c>
      <c r="AD51" s="1">
        <v>46164</v>
      </c>
      <c r="AE51" s="3">
        <v>0</v>
      </c>
      <c r="AF51" s="3" t="s">
        <v>68</v>
      </c>
      <c r="AG51" s="3" t="s">
        <v>68</v>
      </c>
      <c r="AH51" s="3">
        <v>13.5</v>
      </c>
      <c r="AI51" s="3">
        <v>10.428571428571429</v>
      </c>
      <c r="AJ51"/>
      <c r="AK51" s="3" t="s">
        <v>69</v>
      </c>
      <c r="AL51" t="s">
        <v>70</v>
      </c>
      <c r="AM51" t="s">
        <v>71</v>
      </c>
      <c r="AN51" t="s">
        <v>72</v>
      </c>
      <c r="AO51" t="s">
        <v>62</v>
      </c>
      <c r="AP51" s="10"/>
      <c r="AQ51" s="1">
        <v>46102</v>
      </c>
      <c r="AR51" s="48" t="e">
        <v>#N/A</v>
      </c>
      <c r="AS51">
        <v>5701</v>
      </c>
      <c r="AT51">
        <v>100</v>
      </c>
      <c r="AU51" t="s">
        <v>831</v>
      </c>
      <c r="AV51">
        <v>10.210000000000001</v>
      </c>
      <c r="AW51">
        <v>14.1</v>
      </c>
      <c r="AX51">
        <v>1400</v>
      </c>
      <c r="AY51">
        <v>36</v>
      </c>
      <c r="AZ51">
        <v>34</v>
      </c>
      <c r="BA51">
        <v>24.5</v>
      </c>
      <c r="BB51">
        <v>5</v>
      </c>
      <c r="BC51" s="3" t="s">
        <v>829</v>
      </c>
      <c r="BD51" s="16" t="s">
        <v>832</v>
      </c>
      <c r="BE51" t="s">
        <v>75</v>
      </c>
      <c r="BF51" s="49" t="e">
        <v>#N/A</v>
      </c>
      <c r="BG51" s="50" t="s">
        <v>75</v>
      </c>
      <c r="BH51" s="50" t="s">
        <v>75</v>
      </c>
      <c r="BI51" s="50" t="s">
        <v>75</v>
      </c>
    </row>
    <row r="52" spans="1:61" ht="15" x14ac:dyDescent="0.25">
      <c r="A52" s="1">
        <v>46091</v>
      </c>
      <c r="B52" t="s">
        <v>655</v>
      </c>
      <c r="C52" t="s">
        <v>656</v>
      </c>
      <c r="D52" s="10">
        <v>112116</v>
      </c>
      <c r="E52" t="s">
        <v>833</v>
      </c>
      <c r="F52" t="s">
        <v>62</v>
      </c>
      <c r="G52" s="39"/>
      <c r="H52" s="10" t="s">
        <v>551</v>
      </c>
      <c r="I52" t="s">
        <v>834</v>
      </c>
      <c r="J52">
        <v>13000</v>
      </c>
      <c r="K52" s="4" t="s">
        <v>64</v>
      </c>
      <c r="L52" s="40">
        <v>0</v>
      </c>
      <c r="M52" s="40">
        <v>13000</v>
      </c>
      <c r="N52" s="5">
        <v>0.63600000000000001</v>
      </c>
      <c r="O52">
        <v>8268</v>
      </c>
      <c r="P52" t="s">
        <v>65</v>
      </c>
      <c r="Q52" s="6"/>
      <c r="R52" s="41">
        <v>1.391E-2</v>
      </c>
      <c r="S52" s="42">
        <v>180.83</v>
      </c>
      <c r="T52" s="42">
        <v>400</v>
      </c>
      <c r="U52" s="43">
        <v>4.0625</v>
      </c>
      <c r="V52" s="44">
        <v>46133</v>
      </c>
      <c r="W52" s="45">
        <v>46148</v>
      </c>
      <c r="X52" s="46" t="s">
        <v>66</v>
      </c>
      <c r="Y52" s="44">
        <v>46161</v>
      </c>
      <c r="Z52" s="44">
        <v>46164</v>
      </c>
      <c r="AA52" s="46" t="s">
        <v>66</v>
      </c>
      <c r="AB52" s="47">
        <v>16</v>
      </c>
      <c r="AC52" s="1">
        <v>46164</v>
      </c>
      <c r="AD52" s="1">
        <v>46164</v>
      </c>
      <c r="AE52" s="3">
        <v>0</v>
      </c>
      <c r="AF52" s="3" t="s">
        <v>68</v>
      </c>
      <c r="AG52" s="3" t="s">
        <v>68</v>
      </c>
      <c r="AH52" s="3">
        <v>13.5</v>
      </c>
      <c r="AI52" s="3">
        <v>10.428571428571429</v>
      </c>
      <c r="AJ52"/>
      <c r="AK52" s="3" t="s">
        <v>69</v>
      </c>
      <c r="AL52" t="s">
        <v>70</v>
      </c>
      <c r="AM52" t="s">
        <v>71</v>
      </c>
      <c r="AN52" t="s">
        <v>72</v>
      </c>
      <c r="AO52" t="s">
        <v>62</v>
      </c>
      <c r="AP52" s="10"/>
      <c r="AQ52" s="1">
        <v>46103</v>
      </c>
      <c r="AR52" s="48" t="e">
        <v>#N/A</v>
      </c>
      <c r="AS52">
        <v>5700</v>
      </c>
      <c r="AT52">
        <v>100</v>
      </c>
      <c r="AU52" t="s">
        <v>835</v>
      </c>
      <c r="AV52">
        <v>10.210000000000001</v>
      </c>
      <c r="AW52">
        <v>9.31</v>
      </c>
      <c r="AX52">
        <v>800</v>
      </c>
      <c r="AY52">
        <v>36</v>
      </c>
      <c r="AZ52">
        <v>34</v>
      </c>
      <c r="BA52">
        <v>24.5</v>
      </c>
      <c r="BB52">
        <v>17</v>
      </c>
      <c r="BC52" s="3" t="s">
        <v>833</v>
      </c>
      <c r="BD52" s="16" t="s">
        <v>74</v>
      </c>
      <c r="BE52" t="s">
        <v>75</v>
      </c>
      <c r="BF52" s="49" t="e">
        <v>#N/A</v>
      </c>
      <c r="BG52" s="50" t="s">
        <v>75</v>
      </c>
      <c r="BH52" s="50" t="s">
        <v>75</v>
      </c>
      <c r="BI52" s="50" t="s">
        <v>75</v>
      </c>
    </row>
    <row r="53" spans="1:61" ht="15" x14ac:dyDescent="0.25">
      <c r="A53" s="1">
        <v>46091</v>
      </c>
      <c r="B53" t="s">
        <v>492</v>
      </c>
      <c r="C53" t="s">
        <v>493</v>
      </c>
      <c r="D53" s="10" t="s">
        <v>494</v>
      </c>
      <c r="E53" t="s">
        <v>853</v>
      </c>
      <c r="F53" t="s">
        <v>62</v>
      </c>
      <c r="G53" s="39"/>
      <c r="H53" s="10" t="s">
        <v>551</v>
      </c>
      <c r="I53" t="s">
        <v>854</v>
      </c>
      <c r="J53">
        <v>11000</v>
      </c>
      <c r="K53" s="4" t="s">
        <v>64</v>
      </c>
      <c r="L53" s="40">
        <v>0</v>
      </c>
      <c r="M53" s="40">
        <v>11000</v>
      </c>
      <c r="N53" s="5">
        <v>0.39700000000000002</v>
      </c>
      <c r="O53">
        <v>4367</v>
      </c>
      <c r="P53" t="s">
        <v>65</v>
      </c>
      <c r="Q53" s="6"/>
      <c r="R53" s="41">
        <v>6.3899999999999998E-3</v>
      </c>
      <c r="S53" s="42">
        <v>70.289999999999992</v>
      </c>
      <c r="T53" s="42">
        <v>500</v>
      </c>
      <c r="U53" s="43">
        <v>2.75</v>
      </c>
      <c r="V53" s="44">
        <v>46133</v>
      </c>
      <c r="W53" s="45">
        <v>46148</v>
      </c>
      <c r="X53" s="46" t="s">
        <v>66</v>
      </c>
      <c r="Y53" s="44">
        <v>46161</v>
      </c>
      <c r="Z53" s="44">
        <v>46164</v>
      </c>
      <c r="AA53" s="46" t="s">
        <v>66</v>
      </c>
      <c r="AB53" s="47">
        <v>16</v>
      </c>
      <c r="AC53" s="1">
        <v>46164</v>
      </c>
      <c r="AD53" s="1">
        <v>46164</v>
      </c>
      <c r="AE53" s="3">
        <v>0</v>
      </c>
      <c r="AF53" s="3" t="s">
        <v>68</v>
      </c>
      <c r="AG53" s="3" t="s">
        <v>68</v>
      </c>
      <c r="AH53" s="3">
        <v>13.5</v>
      </c>
      <c r="AI53" s="3">
        <v>10.428571428571429</v>
      </c>
      <c r="AJ53"/>
      <c r="AK53" s="3" t="s">
        <v>69</v>
      </c>
      <c r="AL53" t="s">
        <v>70</v>
      </c>
      <c r="AM53" t="s">
        <v>71</v>
      </c>
      <c r="AN53" t="s">
        <v>72</v>
      </c>
      <c r="AO53" t="s">
        <v>62</v>
      </c>
      <c r="AP53" s="10"/>
      <c r="AQ53" s="1">
        <v>46123</v>
      </c>
      <c r="AR53" s="48" t="e">
        <v>#N/A</v>
      </c>
      <c r="AS53">
        <v>5680</v>
      </c>
      <c r="AT53">
        <v>100</v>
      </c>
      <c r="AU53" t="s">
        <v>855</v>
      </c>
      <c r="AV53">
        <v>8.5500000000000007</v>
      </c>
      <c r="AW53">
        <v>8.5500000000000007</v>
      </c>
      <c r="AX53">
        <v>800</v>
      </c>
      <c r="AY53">
        <v>36</v>
      </c>
      <c r="AZ53">
        <v>34</v>
      </c>
      <c r="BA53">
        <v>24.5</v>
      </c>
      <c r="BB53">
        <v>14</v>
      </c>
      <c r="BC53" s="3" t="s">
        <v>853</v>
      </c>
      <c r="BD53" s="16" t="s">
        <v>74</v>
      </c>
      <c r="BE53" t="s">
        <v>75</v>
      </c>
      <c r="BF53" s="49" t="e">
        <v>#N/A</v>
      </c>
      <c r="BG53" s="50" t="s">
        <v>75</v>
      </c>
      <c r="BH53" s="50" t="s">
        <v>75</v>
      </c>
      <c r="BI53" s="50" t="s">
        <v>75</v>
      </c>
    </row>
    <row r="54" spans="1:61" ht="15" x14ac:dyDescent="0.25">
      <c r="A54" s="1">
        <v>46091</v>
      </c>
      <c r="B54" t="s">
        <v>856</v>
      </c>
      <c r="C54" t="s">
        <v>857</v>
      </c>
      <c r="D54" s="10" t="s">
        <v>858</v>
      </c>
      <c r="E54" t="s">
        <v>859</v>
      </c>
      <c r="F54" t="s">
        <v>62</v>
      </c>
      <c r="G54" s="39"/>
      <c r="H54" s="10" t="s">
        <v>551</v>
      </c>
      <c r="I54" t="s">
        <v>860</v>
      </c>
      <c r="J54" s="54">
        <v>11000</v>
      </c>
      <c r="K54" s="4" t="s">
        <v>64</v>
      </c>
      <c r="L54" s="40">
        <v>0</v>
      </c>
      <c r="M54" s="40">
        <v>11000</v>
      </c>
      <c r="N54" s="5">
        <v>1.335</v>
      </c>
      <c r="O54">
        <v>14685</v>
      </c>
      <c r="P54" t="s">
        <v>65</v>
      </c>
      <c r="Q54" s="6"/>
      <c r="R54" s="41">
        <v>4.7299999999999998E-3</v>
      </c>
      <c r="S54" s="42">
        <v>52.03</v>
      </c>
      <c r="T54" s="42">
        <v>500</v>
      </c>
      <c r="U54" s="43">
        <v>2.75</v>
      </c>
      <c r="V54" s="44">
        <v>46133</v>
      </c>
      <c r="W54" s="45">
        <v>46148</v>
      </c>
      <c r="X54" s="46" t="s">
        <v>66</v>
      </c>
      <c r="Y54" s="44">
        <v>46161</v>
      </c>
      <c r="Z54" s="44">
        <v>46164</v>
      </c>
      <c r="AA54" s="46" t="s">
        <v>66</v>
      </c>
      <c r="AB54" s="47">
        <v>16</v>
      </c>
      <c r="AC54" s="1">
        <v>46164</v>
      </c>
      <c r="AD54" s="1">
        <v>46164</v>
      </c>
      <c r="AE54" s="3">
        <v>0</v>
      </c>
      <c r="AF54" s="3" t="s">
        <v>68</v>
      </c>
      <c r="AG54" s="3" t="s">
        <v>68</v>
      </c>
      <c r="AH54" s="3">
        <v>13.5</v>
      </c>
      <c r="AI54" s="3">
        <v>10.428571428571429</v>
      </c>
      <c r="AJ54"/>
      <c r="AK54" s="3" t="s">
        <v>69</v>
      </c>
      <c r="AL54" t="s">
        <v>70</v>
      </c>
      <c r="AM54" t="s">
        <v>71</v>
      </c>
      <c r="AN54" t="s">
        <v>72</v>
      </c>
      <c r="AO54" t="s">
        <v>62</v>
      </c>
      <c r="AP54" s="10"/>
      <c r="AQ54" s="1">
        <v>46134</v>
      </c>
      <c r="AR54" s="48" t="e">
        <v>#N/A</v>
      </c>
      <c r="AS54">
        <v>5669</v>
      </c>
      <c r="AT54">
        <v>100</v>
      </c>
      <c r="AU54" t="s">
        <v>861</v>
      </c>
      <c r="AV54">
        <v>3.78</v>
      </c>
      <c r="AW54">
        <v>8.7799999999999994</v>
      </c>
      <c r="AX54">
        <v>2000</v>
      </c>
      <c r="AY54">
        <v>36</v>
      </c>
      <c r="AZ54">
        <v>34</v>
      </c>
      <c r="BA54">
        <v>24.5</v>
      </c>
      <c r="BB54">
        <v>6</v>
      </c>
      <c r="BC54" s="3" t="s">
        <v>859</v>
      </c>
      <c r="BD54" s="16" t="s">
        <v>826</v>
      </c>
      <c r="BE54" t="s">
        <v>75</v>
      </c>
      <c r="BF54" s="49" t="e">
        <v>#N/A</v>
      </c>
      <c r="BG54" s="50" t="s">
        <v>75</v>
      </c>
      <c r="BH54" s="50" t="s">
        <v>75</v>
      </c>
      <c r="BI54" s="50" t="s">
        <v>75</v>
      </c>
    </row>
    <row r="55" spans="1:61" ht="15" x14ac:dyDescent="0.25">
      <c r="A55" s="1">
        <v>46062</v>
      </c>
      <c r="B55" t="s">
        <v>576</v>
      </c>
      <c r="C55" t="s">
        <v>577</v>
      </c>
      <c r="D55" t="s">
        <v>577</v>
      </c>
      <c r="E55" t="s">
        <v>578</v>
      </c>
      <c r="F55" t="s">
        <v>278</v>
      </c>
      <c r="G55" s="39"/>
      <c r="H55" s="10" t="s">
        <v>551</v>
      </c>
      <c r="I55" t="s">
        <v>579</v>
      </c>
      <c r="J55" s="54">
        <v>5000</v>
      </c>
      <c r="K55" s="4" t="s">
        <v>64</v>
      </c>
      <c r="L55" s="40">
        <v>0</v>
      </c>
      <c r="M55" s="40">
        <v>5000</v>
      </c>
      <c r="N55" s="5">
        <v>0</v>
      </c>
      <c r="O55">
        <v>0</v>
      </c>
      <c r="P55" t="s">
        <v>14</v>
      </c>
      <c r="Q55" s="6"/>
      <c r="R55" s="41">
        <v>2.547E-2</v>
      </c>
      <c r="S55" s="42">
        <v>127.35</v>
      </c>
      <c r="T55" s="84">
        <v>260</v>
      </c>
      <c r="U55" s="43" t="s">
        <v>209</v>
      </c>
      <c r="V55" s="44" t="s">
        <v>463</v>
      </c>
      <c r="W55" s="45" t="s">
        <v>463</v>
      </c>
      <c r="X55" s="46" t="s">
        <v>66</v>
      </c>
      <c r="Y55" s="44">
        <v>46161</v>
      </c>
      <c r="Z55" s="44">
        <v>46164</v>
      </c>
      <c r="AA55" s="46"/>
      <c r="AB55" s="47" t="s">
        <v>464</v>
      </c>
      <c r="AC55" s="1">
        <v>46139</v>
      </c>
      <c r="AD55" s="1">
        <v>46139</v>
      </c>
      <c r="AE55" s="3">
        <v>-25</v>
      </c>
      <c r="AF55" s="3" t="s">
        <v>69</v>
      </c>
      <c r="AG55" s="3" t="s">
        <v>69</v>
      </c>
      <c r="AH55" s="3">
        <v>42.5</v>
      </c>
      <c r="AI55" s="3">
        <v>14.571428571428571</v>
      </c>
      <c r="AJ55"/>
      <c r="AK55" s="3" t="s">
        <v>69</v>
      </c>
      <c r="AL55"/>
      <c r="AM55"/>
      <c r="AN55" t="s">
        <v>72</v>
      </c>
      <c r="AO55" t="s">
        <v>278</v>
      </c>
      <c r="AP55" s="10" t="s">
        <v>580</v>
      </c>
      <c r="AQ55" s="1">
        <v>46090</v>
      </c>
      <c r="AR55" s="48" t="e">
        <v>#N/A</v>
      </c>
      <c r="AS55"/>
      <c r="AT55"/>
      <c r="AU55" t="s">
        <v>581</v>
      </c>
      <c r="AV55"/>
      <c r="AW55"/>
      <c r="AX55"/>
      <c r="AY55"/>
      <c r="AZ55"/>
      <c r="BA55"/>
      <c r="BB55">
        <v>0</v>
      </c>
      <c r="BC55" s="3" t="s">
        <v>578</v>
      </c>
      <c r="BD55" s="16"/>
      <c r="BE55" t="s">
        <v>75</v>
      </c>
      <c r="BF55" s="49" t="e">
        <v>#N/A</v>
      </c>
      <c r="BG55" s="50" t="s">
        <v>75</v>
      </c>
      <c r="BH55" s="50" t="s">
        <v>75</v>
      </c>
      <c r="BI55" s="50" t="s">
        <v>75</v>
      </c>
    </row>
    <row r="56" spans="1:61" ht="15" x14ac:dyDescent="0.25">
      <c r="A56" s="1">
        <v>46076</v>
      </c>
      <c r="B56" t="s">
        <v>582</v>
      </c>
      <c r="C56" t="s">
        <v>583</v>
      </c>
      <c r="D56" s="10" t="s">
        <v>584</v>
      </c>
      <c r="E56" t="s">
        <v>585</v>
      </c>
      <c r="F56" t="s">
        <v>62</v>
      </c>
      <c r="G56" s="39"/>
      <c r="H56" s="10" t="s">
        <v>551</v>
      </c>
      <c r="I56" t="s">
        <v>586</v>
      </c>
      <c r="J56">
        <v>2000</v>
      </c>
      <c r="K56" s="4" t="s">
        <v>64</v>
      </c>
      <c r="L56" s="40">
        <v>0</v>
      </c>
      <c r="M56" s="40">
        <v>2000</v>
      </c>
      <c r="N56" s="5">
        <v>1.98</v>
      </c>
      <c r="O56">
        <v>3960</v>
      </c>
      <c r="P56" t="s">
        <v>65</v>
      </c>
      <c r="Q56" s="6"/>
      <c r="R56" s="41">
        <v>1.7479999999999999E-2</v>
      </c>
      <c r="S56" s="42">
        <v>34.96</v>
      </c>
      <c r="T56" s="42">
        <v>370</v>
      </c>
      <c r="U56" s="43">
        <v>0.67567567567567566</v>
      </c>
      <c r="V56" s="44">
        <v>46129</v>
      </c>
      <c r="W56" s="45">
        <v>46144</v>
      </c>
      <c r="X56" s="46" t="s">
        <v>66</v>
      </c>
      <c r="Y56" s="44">
        <v>46161</v>
      </c>
      <c r="Z56" s="44">
        <v>46164</v>
      </c>
      <c r="AA56" s="46" t="s">
        <v>66</v>
      </c>
      <c r="AB56" s="47">
        <v>20</v>
      </c>
      <c r="AC56" s="1">
        <v>46122</v>
      </c>
      <c r="AD56" s="1">
        <v>46164</v>
      </c>
      <c r="AE56" s="3">
        <v>0</v>
      </c>
      <c r="AF56" s="3" t="s">
        <v>68</v>
      </c>
      <c r="AG56" s="3" t="s">
        <v>69</v>
      </c>
      <c r="AH56" s="3">
        <v>28.5</v>
      </c>
      <c r="AI56" s="3">
        <v>12.571428571428571</v>
      </c>
      <c r="AJ56"/>
      <c r="AK56" s="3" t="s">
        <v>69</v>
      </c>
      <c r="AL56" t="s">
        <v>80</v>
      </c>
      <c r="AM56"/>
      <c r="AN56" t="s">
        <v>72</v>
      </c>
      <c r="AO56" t="s">
        <v>62</v>
      </c>
      <c r="AP56" s="10"/>
      <c r="AQ56" s="1">
        <v>46104</v>
      </c>
      <c r="AR56" s="48" t="e">
        <v>#N/A</v>
      </c>
      <c r="AS56">
        <v>5360</v>
      </c>
      <c r="AT56">
        <v>100</v>
      </c>
      <c r="AU56" t="s">
        <v>587</v>
      </c>
      <c r="AV56">
        <v>5.9</v>
      </c>
      <c r="AW56">
        <v>8.49</v>
      </c>
      <c r="AX56">
        <v>1000</v>
      </c>
      <c r="AY56">
        <v>38</v>
      </c>
      <c r="AZ56">
        <v>29.5</v>
      </c>
      <c r="BA56">
        <v>19.5</v>
      </c>
      <c r="BB56">
        <v>2</v>
      </c>
      <c r="BC56" s="3" t="s">
        <v>585</v>
      </c>
      <c r="BD56" s="16" t="s">
        <v>74</v>
      </c>
      <c r="BE56" t="s">
        <v>75</v>
      </c>
      <c r="BF56" s="49" t="e">
        <v>#N/A</v>
      </c>
      <c r="BG56" s="50" t="s">
        <v>75</v>
      </c>
      <c r="BH56" s="50" t="s">
        <v>75</v>
      </c>
      <c r="BI56" s="50" t="s">
        <v>75</v>
      </c>
    </row>
    <row r="57" spans="1:61" ht="15" x14ac:dyDescent="0.25">
      <c r="A57" s="1">
        <v>46077</v>
      </c>
      <c r="B57" t="s">
        <v>599</v>
      </c>
      <c r="C57" t="s">
        <v>600</v>
      </c>
      <c r="D57" t="s">
        <v>601</v>
      </c>
      <c r="E57" t="s">
        <v>602</v>
      </c>
      <c r="F57" t="s">
        <v>62</v>
      </c>
      <c r="G57" s="39"/>
      <c r="H57" s="10" t="s">
        <v>571</v>
      </c>
      <c r="I57" t="s">
        <v>603</v>
      </c>
      <c r="J57">
        <v>500</v>
      </c>
      <c r="K57" s="4">
        <v>46153</v>
      </c>
      <c r="L57" s="40">
        <v>0</v>
      </c>
      <c r="M57" s="40">
        <v>500</v>
      </c>
      <c r="N57">
        <v>1.2589999999999999</v>
      </c>
      <c r="O57">
        <v>629.5</v>
      </c>
      <c r="P57" t="s">
        <v>65</v>
      </c>
      <c r="Q57" s="6"/>
      <c r="R57" s="41">
        <v>9.1999999999999998E-3</v>
      </c>
      <c r="S57" s="42">
        <v>4.5999999999999996</v>
      </c>
      <c r="T57" s="42">
        <v>500</v>
      </c>
      <c r="U57" s="43">
        <v>0.125</v>
      </c>
      <c r="V57" s="44">
        <v>46133</v>
      </c>
      <c r="W57" s="45">
        <v>46148</v>
      </c>
      <c r="X57" s="46" t="s">
        <v>66</v>
      </c>
      <c r="Y57" s="44">
        <v>46161</v>
      </c>
      <c r="Z57" s="44">
        <v>46164</v>
      </c>
      <c r="AA57" s="46" t="s">
        <v>66</v>
      </c>
      <c r="AB57" s="47">
        <v>16</v>
      </c>
      <c r="AC57" s="1">
        <v>46123</v>
      </c>
      <c r="AD57" s="1">
        <v>46164</v>
      </c>
      <c r="AE57" s="3">
        <v>0</v>
      </c>
      <c r="AF57" s="3" t="s">
        <v>68</v>
      </c>
      <c r="AG57" s="3" t="s">
        <v>69</v>
      </c>
      <c r="AH57" s="3">
        <v>27.5</v>
      </c>
      <c r="AI57" s="3">
        <v>12.428571428571429</v>
      </c>
      <c r="AJ57"/>
      <c r="AK57" s="3" t="s">
        <v>69</v>
      </c>
      <c r="AL57" t="s">
        <v>80</v>
      </c>
      <c r="AM57"/>
      <c r="AN57" t="s">
        <v>72</v>
      </c>
      <c r="AO57" t="s">
        <v>62</v>
      </c>
      <c r="AP57" s="10"/>
      <c r="AQ57" s="1">
        <v>46105</v>
      </c>
      <c r="AR57" s="48" t="e">
        <v>#N/A</v>
      </c>
      <c r="AS57">
        <v>5429</v>
      </c>
      <c r="AT57">
        <v>100</v>
      </c>
      <c r="AU57" t="s">
        <v>604</v>
      </c>
      <c r="AV57">
        <v>9.3000000000000007</v>
      </c>
      <c r="AW57">
        <v>8.6300000000000008</v>
      </c>
      <c r="AX57">
        <v>800</v>
      </c>
      <c r="AY57">
        <v>38</v>
      </c>
      <c r="AZ57">
        <v>29.5</v>
      </c>
      <c r="BA57">
        <v>19.5</v>
      </c>
      <c r="BB57">
        <v>1</v>
      </c>
      <c r="BC57" s="3" t="s">
        <v>602</v>
      </c>
      <c r="BD57" t="s">
        <v>74</v>
      </c>
      <c r="BE57" t="s">
        <v>75</v>
      </c>
      <c r="BF57" s="49" t="e">
        <v>#N/A</v>
      </c>
      <c r="BG57" s="50" t="s">
        <v>75</v>
      </c>
      <c r="BH57" s="50" t="s">
        <v>75</v>
      </c>
      <c r="BI57" s="50" t="s">
        <v>75</v>
      </c>
    </row>
    <row r="58" spans="1:61" ht="15" x14ac:dyDescent="0.25">
      <c r="A58" s="1">
        <v>46079</v>
      </c>
      <c r="B58" t="s">
        <v>605</v>
      </c>
      <c r="C58" t="s">
        <v>606</v>
      </c>
      <c r="D58">
        <v>172306</v>
      </c>
      <c r="E58" t="s">
        <v>607</v>
      </c>
      <c r="F58" t="s">
        <v>62</v>
      </c>
      <c r="G58" s="39"/>
      <c r="H58" s="10" t="s">
        <v>965</v>
      </c>
      <c r="I58" t="s">
        <v>608</v>
      </c>
      <c r="J58">
        <v>1000</v>
      </c>
      <c r="K58" s="4"/>
      <c r="L58" s="40">
        <v>0</v>
      </c>
      <c r="M58" s="40">
        <v>1000</v>
      </c>
      <c r="N58">
        <v>0.96499999999999997</v>
      </c>
      <c r="O58">
        <v>965</v>
      </c>
      <c r="P58" t="s">
        <v>65</v>
      </c>
      <c r="Q58" s="6"/>
      <c r="R58" s="41">
        <v>6.0699999999999999E-3</v>
      </c>
      <c r="S58" s="42">
        <v>6.07</v>
      </c>
      <c r="T58" s="42">
        <v>500</v>
      </c>
      <c r="U58" s="43">
        <v>0.25</v>
      </c>
      <c r="V58" s="44">
        <v>46126</v>
      </c>
      <c r="W58" s="45">
        <v>46141</v>
      </c>
      <c r="X58" s="46" t="s">
        <v>66</v>
      </c>
      <c r="Y58" s="44">
        <v>46161</v>
      </c>
      <c r="Z58" s="44">
        <v>46164</v>
      </c>
      <c r="AA58" s="46" t="s">
        <v>66</v>
      </c>
      <c r="AB58" s="47">
        <v>23</v>
      </c>
      <c r="AC58" s="1">
        <v>46171</v>
      </c>
      <c r="AD58" s="1">
        <v>46171</v>
      </c>
      <c r="AE58" s="3">
        <v>7</v>
      </c>
      <c r="AF58" s="3" t="s">
        <v>68</v>
      </c>
      <c r="AG58" s="3" t="s">
        <v>68</v>
      </c>
      <c r="AH58" s="3">
        <v>25.5</v>
      </c>
      <c r="AI58" s="3">
        <v>12.142857142857142</v>
      </c>
      <c r="AJ58"/>
      <c r="AK58" s="3" t="s">
        <v>69</v>
      </c>
      <c r="AL58" t="s">
        <v>70</v>
      </c>
      <c r="AM58"/>
      <c r="AN58" t="s">
        <v>72</v>
      </c>
      <c r="AO58" t="s">
        <v>62</v>
      </c>
      <c r="AP58" s="10"/>
      <c r="AQ58" s="1">
        <v>46107</v>
      </c>
      <c r="AR58" s="48" t="e">
        <v>#N/A</v>
      </c>
      <c r="AS58">
        <v>5482</v>
      </c>
      <c r="AT58">
        <v>100</v>
      </c>
      <c r="AU58" t="s">
        <v>609</v>
      </c>
      <c r="AV58">
        <v>21.04</v>
      </c>
      <c r="AW58">
        <v>12.04</v>
      </c>
      <c r="AX58">
        <v>500</v>
      </c>
      <c r="AY58">
        <v>38</v>
      </c>
      <c r="AZ58">
        <v>29.5</v>
      </c>
      <c r="BA58">
        <v>19.5</v>
      </c>
      <c r="BB58">
        <v>2</v>
      </c>
      <c r="BC58" s="3" t="s">
        <v>607</v>
      </c>
      <c r="BD58" t="s">
        <v>74</v>
      </c>
      <c r="BE58" t="s">
        <v>75</v>
      </c>
      <c r="BF58" s="49" t="e">
        <v>#N/A</v>
      </c>
      <c r="BG58" s="50" t="s">
        <v>75</v>
      </c>
      <c r="BH58" s="50" t="s">
        <v>75</v>
      </c>
      <c r="BI58" s="50" t="s">
        <v>75</v>
      </c>
    </row>
    <row r="59" spans="1:61" ht="15" x14ac:dyDescent="0.25">
      <c r="A59" s="1">
        <v>46079</v>
      </c>
      <c r="B59" t="s">
        <v>610</v>
      </c>
      <c r="C59" t="s">
        <v>611</v>
      </c>
      <c r="D59">
        <v>122340</v>
      </c>
      <c r="E59" t="s">
        <v>612</v>
      </c>
      <c r="F59" t="s">
        <v>62</v>
      </c>
      <c r="G59" s="39"/>
      <c r="H59" s="10" t="s">
        <v>571</v>
      </c>
      <c r="I59" t="s">
        <v>613</v>
      </c>
      <c r="J59">
        <v>1000</v>
      </c>
      <c r="K59" s="4">
        <v>46153</v>
      </c>
      <c r="L59" s="40">
        <v>0</v>
      </c>
      <c r="M59" s="40">
        <v>1000</v>
      </c>
      <c r="N59">
        <v>1.905</v>
      </c>
      <c r="O59">
        <v>1905</v>
      </c>
      <c r="P59" t="s">
        <v>65</v>
      </c>
      <c r="Q59" s="6"/>
      <c r="R59" s="41">
        <v>8.0300000000000007E-3</v>
      </c>
      <c r="S59" s="42">
        <v>8.0300000000000011</v>
      </c>
      <c r="T59" s="42">
        <v>450</v>
      </c>
      <c r="U59" s="43">
        <v>0.27777777777777779</v>
      </c>
      <c r="V59" s="44">
        <v>46126</v>
      </c>
      <c r="W59" s="45">
        <v>46141</v>
      </c>
      <c r="X59" s="46" t="s">
        <v>66</v>
      </c>
      <c r="Y59" s="44">
        <v>46161</v>
      </c>
      <c r="Z59" s="44">
        <v>46164</v>
      </c>
      <c r="AA59" s="46" t="s">
        <v>66</v>
      </c>
      <c r="AB59" s="47">
        <v>23</v>
      </c>
      <c r="AC59" s="1">
        <v>46123</v>
      </c>
      <c r="AD59" s="1">
        <v>46164</v>
      </c>
      <c r="AE59" s="3">
        <v>0</v>
      </c>
      <c r="AF59" s="3" t="s">
        <v>68</v>
      </c>
      <c r="AG59" s="3" t="s">
        <v>69</v>
      </c>
      <c r="AH59" s="3">
        <v>25.5</v>
      </c>
      <c r="AI59" s="3">
        <v>12.142857142857142</v>
      </c>
      <c r="AJ59"/>
      <c r="AK59" s="3" t="s">
        <v>69</v>
      </c>
      <c r="AL59" t="s">
        <v>80</v>
      </c>
      <c r="AM59"/>
      <c r="AN59" t="s">
        <v>72</v>
      </c>
      <c r="AO59" t="s">
        <v>62</v>
      </c>
      <c r="AP59" s="10"/>
      <c r="AQ59" s="1">
        <v>46107</v>
      </c>
      <c r="AR59" s="48" t="e">
        <v>#N/A</v>
      </c>
      <c r="AS59">
        <v>5473</v>
      </c>
      <c r="AT59">
        <v>100</v>
      </c>
      <c r="AU59" t="s">
        <v>614</v>
      </c>
      <c r="AV59">
        <v>22.74</v>
      </c>
      <c r="AW59">
        <v>15.41</v>
      </c>
      <c r="AX59">
        <v>600</v>
      </c>
      <c r="AY59">
        <v>38</v>
      </c>
      <c r="AZ59">
        <v>29.5</v>
      </c>
      <c r="BA59">
        <v>19.5</v>
      </c>
      <c r="BB59">
        <v>2</v>
      </c>
      <c r="BC59" s="3" t="s">
        <v>612</v>
      </c>
      <c r="BD59" t="s">
        <v>74</v>
      </c>
      <c r="BE59" t="s">
        <v>75</v>
      </c>
      <c r="BF59" s="49" t="e">
        <v>#N/A</v>
      </c>
      <c r="BG59" s="50" t="s">
        <v>75</v>
      </c>
      <c r="BH59" s="50" t="s">
        <v>75</v>
      </c>
      <c r="BI59" s="50" t="s">
        <v>75</v>
      </c>
    </row>
    <row r="60" spans="1:61" ht="15" x14ac:dyDescent="0.25">
      <c r="A60" s="1">
        <v>46079</v>
      </c>
      <c r="B60" t="s">
        <v>562</v>
      </c>
      <c r="C60" t="s">
        <v>563</v>
      </c>
      <c r="D60">
        <v>112424</v>
      </c>
      <c r="E60" t="s">
        <v>615</v>
      </c>
      <c r="F60" t="s">
        <v>62</v>
      </c>
      <c r="G60" s="39"/>
      <c r="H60" s="10" t="s">
        <v>551</v>
      </c>
      <c r="I60" t="s">
        <v>616</v>
      </c>
      <c r="J60">
        <v>2000</v>
      </c>
      <c r="K60" s="4" t="s">
        <v>64</v>
      </c>
      <c r="L60" s="40">
        <v>0</v>
      </c>
      <c r="M60" s="40">
        <v>2000</v>
      </c>
      <c r="N60">
        <v>0.99</v>
      </c>
      <c r="O60">
        <v>1980</v>
      </c>
      <c r="P60" t="s">
        <v>65</v>
      </c>
      <c r="Q60" s="6"/>
      <c r="R60" s="41">
        <v>5.5799999999999999E-3</v>
      </c>
      <c r="S60" s="42">
        <v>11.16</v>
      </c>
      <c r="T60" s="42">
        <v>450</v>
      </c>
      <c r="U60" s="43">
        <v>0.55555555555555558</v>
      </c>
      <c r="V60" s="44">
        <v>46126</v>
      </c>
      <c r="W60" s="45">
        <v>46141</v>
      </c>
      <c r="X60" s="46" t="s">
        <v>66</v>
      </c>
      <c r="Y60" s="44">
        <v>46161</v>
      </c>
      <c r="Z60" s="44">
        <v>46164</v>
      </c>
      <c r="AA60" s="46" t="s">
        <v>66</v>
      </c>
      <c r="AB60" s="47">
        <v>23</v>
      </c>
      <c r="AC60" s="1">
        <v>46123</v>
      </c>
      <c r="AD60" s="1">
        <v>46157</v>
      </c>
      <c r="AE60" s="3">
        <v>-7</v>
      </c>
      <c r="AF60" s="3" t="s">
        <v>69</v>
      </c>
      <c r="AG60" s="3" t="s">
        <v>69</v>
      </c>
      <c r="AH60" s="3">
        <v>25.5</v>
      </c>
      <c r="AI60" s="3">
        <v>12.142857142857142</v>
      </c>
      <c r="AJ60"/>
      <c r="AK60" s="3" t="s">
        <v>69</v>
      </c>
      <c r="AL60" t="s">
        <v>80</v>
      </c>
      <c r="AM60"/>
      <c r="AN60" t="s">
        <v>72</v>
      </c>
      <c r="AO60" t="s">
        <v>62</v>
      </c>
      <c r="AP60" s="10"/>
      <c r="AQ60" s="1">
        <v>46107</v>
      </c>
      <c r="AR60" s="48" t="e">
        <v>#N/A</v>
      </c>
      <c r="AS60">
        <v>5471</v>
      </c>
      <c r="AT60">
        <v>100</v>
      </c>
      <c r="AU60" t="s">
        <v>617</v>
      </c>
      <c r="AV60">
        <v>7.14</v>
      </c>
      <c r="AW60">
        <v>7.62</v>
      </c>
      <c r="AX60">
        <v>800</v>
      </c>
      <c r="AY60">
        <v>38</v>
      </c>
      <c r="AZ60">
        <v>29.5</v>
      </c>
      <c r="BA60">
        <v>19.5</v>
      </c>
      <c r="BB60">
        <v>3</v>
      </c>
      <c r="BC60" s="3" t="s">
        <v>615</v>
      </c>
      <c r="BD60" t="s">
        <v>74</v>
      </c>
      <c r="BE60" t="s">
        <v>75</v>
      </c>
      <c r="BF60" s="49" t="e">
        <v>#N/A</v>
      </c>
      <c r="BG60" s="50" t="s">
        <v>75</v>
      </c>
      <c r="BH60" s="50" t="s">
        <v>75</v>
      </c>
      <c r="BI60" s="50" t="s">
        <v>75</v>
      </c>
    </row>
    <row r="61" spans="1:61" ht="15" x14ac:dyDescent="0.25">
      <c r="A61" s="1">
        <v>46079</v>
      </c>
      <c r="B61" t="s">
        <v>966</v>
      </c>
      <c r="C61" t="s">
        <v>967</v>
      </c>
      <c r="D61">
        <v>172125</v>
      </c>
      <c r="E61" t="s">
        <v>968</v>
      </c>
      <c r="F61" t="s">
        <v>62</v>
      </c>
      <c r="G61" s="39"/>
      <c r="H61" s="10" t="s">
        <v>571</v>
      </c>
      <c r="I61" t="s">
        <v>969</v>
      </c>
      <c r="J61">
        <v>1000</v>
      </c>
      <c r="K61" s="4">
        <v>46153</v>
      </c>
      <c r="L61" s="40">
        <v>0</v>
      </c>
      <c r="M61" s="40">
        <v>1000</v>
      </c>
      <c r="N61">
        <v>8.09</v>
      </c>
      <c r="O61">
        <v>8090</v>
      </c>
      <c r="P61" t="s">
        <v>65</v>
      </c>
      <c r="Q61" s="6"/>
      <c r="R61" s="41">
        <v>1.9910000000000001E-2</v>
      </c>
      <c r="S61" s="42">
        <v>19.91</v>
      </c>
      <c r="T61" s="42">
        <v>180</v>
      </c>
      <c r="U61" s="43">
        <v>0.69444444444444442</v>
      </c>
      <c r="V61" s="44">
        <v>46140</v>
      </c>
      <c r="W61" s="45">
        <v>46155</v>
      </c>
      <c r="X61" s="46" t="s">
        <v>66</v>
      </c>
      <c r="Y61" s="44">
        <v>46161</v>
      </c>
      <c r="Z61" s="44">
        <v>46164</v>
      </c>
      <c r="AA61" s="46" t="s">
        <v>66</v>
      </c>
      <c r="AB61" s="47">
        <v>9</v>
      </c>
      <c r="AC61" s="1">
        <v>46164</v>
      </c>
      <c r="AD61" s="1">
        <v>46164</v>
      </c>
      <c r="AE61" s="3">
        <v>0</v>
      </c>
      <c r="AF61" s="3" t="s">
        <v>68</v>
      </c>
      <c r="AG61" s="3" t="s">
        <v>68</v>
      </c>
      <c r="AH61" s="3">
        <v>25.5</v>
      </c>
      <c r="AI61" s="3">
        <v>12.142857142857142</v>
      </c>
      <c r="AJ61"/>
      <c r="AK61" s="3" t="s">
        <v>69</v>
      </c>
      <c r="AL61" t="s">
        <v>70</v>
      </c>
      <c r="AM61" t="s">
        <v>71</v>
      </c>
      <c r="AN61" t="s">
        <v>72</v>
      </c>
      <c r="AO61" t="s">
        <v>62</v>
      </c>
      <c r="AP61" s="10"/>
      <c r="AQ61" s="1">
        <v>46107</v>
      </c>
      <c r="AR61" s="48" t="e">
        <v>#N/A</v>
      </c>
      <c r="AS61">
        <v>5460</v>
      </c>
      <c r="AT61">
        <v>100</v>
      </c>
      <c r="AU61" t="s">
        <v>970</v>
      </c>
      <c r="AV61">
        <v>80.8</v>
      </c>
      <c r="AW61">
        <v>17.16</v>
      </c>
      <c r="AX61">
        <v>200</v>
      </c>
      <c r="AY61">
        <v>36</v>
      </c>
      <c r="AZ61">
        <v>34</v>
      </c>
      <c r="BA61">
        <v>24.5</v>
      </c>
      <c r="BB61">
        <v>5</v>
      </c>
      <c r="BC61" s="3" t="s">
        <v>968</v>
      </c>
      <c r="BD61" t="s">
        <v>74</v>
      </c>
      <c r="BE61" t="s">
        <v>75</v>
      </c>
      <c r="BF61" s="49" t="e">
        <v>#N/A</v>
      </c>
      <c r="BG61" s="50" t="s">
        <v>75</v>
      </c>
      <c r="BH61" s="50" t="s">
        <v>75</v>
      </c>
      <c r="BI61" s="50" t="s">
        <v>75</v>
      </c>
    </row>
    <row r="62" spans="1:61" ht="15" x14ac:dyDescent="0.25">
      <c r="A62" s="1">
        <v>46079</v>
      </c>
      <c r="B62" t="s">
        <v>971</v>
      </c>
      <c r="C62" t="s">
        <v>972</v>
      </c>
      <c r="D62" t="s">
        <v>972</v>
      </c>
      <c r="E62" t="s">
        <v>973</v>
      </c>
      <c r="F62" t="s">
        <v>62</v>
      </c>
      <c r="G62" s="39"/>
      <c r="H62" s="10" t="s">
        <v>571</v>
      </c>
      <c r="I62" t="s">
        <v>974</v>
      </c>
      <c r="J62">
        <v>300</v>
      </c>
      <c r="K62" s="4">
        <v>46153</v>
      </c>
      <c r="L62" s="40">
        <v>0</v>
      </c>
      <c r="M62" s="40">
        <v>300</v>
      </c>
      <c r="N62">
        <v>1.1459999999999999</v>
      </c>
      <c r="O62">
        <v>343.8</v>
      </c>
      <c r="P62" t="s">
        <v>65</v>
      </c>
      <c r="Q62" s="6"/>
      <c r="R62" s="41">
        <v>1.7000000000000001E-2</v>
      </c>
      <c r="S62" s="42">
        <v>5.1000000000000005</v>
      </c>
      <c r="T62" s="42">
        <v>450</v>
      </c>
      <c r="U62" s="43">
        <v>8.3333333333333329E-2</v>
      </c>
      <c r="V62" s="44">
        <v>46137</v>
      </c>
      <c r="W62" s="45">
        <v>46152</v>
      </c>
      <c r="X62" s="46" t="s">
        <v>66</v>
      </c>
      <c r="Y62" s="44">
        <v>46161</v>
      </c>
      <c r="Z62" s="44">
        <v>46164</v>
      </c>
      <c r="AA62" s="46" t="s">
        <v>66</v>
      </c>
      <c r="AB62" s="47">
        <v>12</v>
      </c>
      <c r="AC62" s="1">
        <v>46157</v>
      </c>
      <c r="AD62" s="1">
        <v>46157</v>
      </c>
      <c r="AE62" s="3">
        <v>-7</v>
      </c>
      <c r="AF62" s="3" t="s">
        <v>69</v>
      </c>
      <c r="AG62" s="3" t="s">
        <v>69</v>
      </c>
      <c r="AH62" s="3">
        <v>25.5</v>
      </c>
      <c r="AI62" s="3">
        <v>12.142857142857142</v>
      </c>
      <c r="AJ62"/>
      <c r="AK62" s="3" t="s">
        <v>69</v>
      </c>
      <c r="AL62" t="s">
        <v>70</v>
      </c>
      <c r="AM62"/>
      <c r="AN62" t="s">
        <v>72</v>
      </c>
      <c r="AO62" t="s">
        <v>62</v>
      </c>
      <c r="AP62" s="10"/>
      <c r="AQ62" s="1">
        <v>46107</v>
      </c>
      <c r="AR62" s="48" t="e">
        <v>#N/A</v>
      </c>
      <c r="AS62">
        <v>5441</v>
      </c>
      <c r="AT62">
        <v>100</v>
      </c>
      <c r="AU62" t="s">
        <v>975</v>
      </c>
      <c r="AV62">
        <v>2.7</v>
      </c>
      <c r="AW62">
        <v>2.66</v>
      </c>
      <c r="AX62">
        <v>500</v>
      </c>
      <c r="AY62">
        <v>30</v>
      </c>
      <c r="AZ62">
        <v>23</v>
      </c>
      <c r="BA62">
        <v>15</v>
      </c>
      <c r="BB62">
        <v>1</v>
      </c>
      <c r="BC62" s="3" t="s">
        <v>973</v>
      </c>
      <c r="BD62" t="s">
        <v>74</v>
      </c>
      <c r="BE62" t="s">
        <v>75</v>
      </c>
      <c r="BF62" s="49" t="e">
        <v>#N/A</v>
      </c>
      <c r="BG62" s="50" t="s">
        <v>75</v>
      </c>
      <c r="BH62" s="50" t="s">
        <v>75</v>
      </c>
      <c r="BI62" s="50" t="s">
        <v>75</v>
      </c>
    </row>
    <row r="63" spans="1:61" ht="15" x14ac:dyDescent="0.25">
      <c r="A63" s="1">
        <v>46083</v>
      </c>
      <c r="B63" t="s">
        <v>316</v>
      </c>
      <c r="C63" s="10" t="s">
        <v>317</v>
      </c>
      <c r="D63" s="10" t="s">
        <v>318</v>
      </c>
      <c r="E63" t="s">
        <v>642</v>
      </c>
      <c r="F63" t="s">
        <v>62</v>
      </c>
      <c r="G63" s="39"/>
      <c r="H63" s="10" t="s">
        <v>551</v>
      </c>
      <c r="I63" t="s">
        <v>643</v>
      </c>
      <c r="J63" s="54">
        <v>2000</v>
      </c>
      <c r="K63" s="4" t="s">
        <v>64</v>
      </c>
      <c r="L63" s="40">
        <v>0</v>
      </c>
      <c r="M63" s="40">
        <v>2000</v>
      </c>
      <c r="N63" s="5">
        <v>1.034</v>
      </c>
      <c r="O63">
        <v>2068</v>
      </c>
      <c r="P63" t="s">
        <v>65</v>
      </c>
      <c r="Q63" s="6"/>
      <c r="R63" s="41">
        <v>9.4800000000000006E-3</v>
      </c>
      <c r="S63" s="42">
        <v>18.96</v>
      </c>
      <c r="T63" s="42">
        <v>450</v>
      </c>
      <c r="U63" s="43">
        <v>0.55555555555555558</v>
      </c>
      <c r="V63" s="44">
        <v>46126</v>
      </c>
      <c r="W63" s="45">
        <v>46141</v>
      </c>
      <c r="X63" s="46" t="s">
        <v>66</v>
      </c>
      <c r="Y63" s="44">
        <v>46161</v>
      </c>
      <c r="Z63" s="44">
        <v>46164</v>
      </c>
      <c r="AA63" s="46" t="s">
        <v>66</v>
      </c>
      <c r="AB63" s="47">
        <v>23</v>
      </c>
      <c r="AC63" s="1">
        <v>46171</v>
      </c>
      <c r="AD63" s="1">
        <v>46171</v>
      </c>
      <c r="AE63" s="3">
        <v>7</v>
      </c>
      <c r="AF63" s="3" t="s">
        <v>68</v>
      </c>
      <c r="AG63" s="3" t="s">
        <v>68</v>
      </c>
      <c r="AH63" s="3">
        <v>21.5</v>
      </c>
      <c r="AI63" s="3">
        <v>11.571428571428571</v>
      </c>
      <c r="AJ63"/>
      <c r="AK63" s="3" t="s">
        <v>69</v>
      </c>
      <c r="AL63" t="s">
        <v>70</v>
      </c>
      <c r="AM63"/>
      <c r="AN63" t="s">
        <v>72</v>
      </c>
      <c r="AO63" t="s">
        <v>62</v>
      </c>
      <c r="AP63" s="10"/>
      <c r="AQ63" s="1">
        <v>46111</v>
      </c>
      <c r="AR63" s="48" t="e">
        <v>#N/A</v>
      </c>
      <c r="AS63">
        <v>5527</v>
      </c>
      <c r="AT63">
        <v>100</v>
      </c>
      <c r="AU63" t="s">
        <v>644</v>
      </c>
      <c r="AV63">
        <v>4.7</v>
      </c>
      <c r="AW63">
        <v>6.77</v>
      </c>
      <c r="AX63">
        <v>1000</v>
      </c>
      <c r="AY63">
        <v>38</v>
      </c>
      <c r="AZ63">
        <v>29.5</v>
      </c>
      <c r="BA63">
        <v>19.5</v>
      </c>
      <c r="BB63">
        <v>2</v>
      </c>
      <c r="BC63" s="3" t="s">
        <v>642</v>
      </c>
      <c r="BD63" t="s">
        <v>74</v>
      </c>
      <c r="BE63" t="s">
        <v>75</v>
      </c>
      <c r="BF63" s="49" t="e">
        <v>#N/A</v>
      </c>
      <c r="BG63" s="50" t="s">
        <v>75</v>
      </c>
      <c r="BH63" s="50" t="s">
        <v>75</v>
      </c>
      <c r="BI63" s="50" t="s">
        <v>75</v>
      </c>
    </row>
    <row r="64" spans="1:61" ht="15" x14ac:dyDescent="0.25">
      <c r="A64" s="1">
        <v>46083</v>
      </c>
      <c r="B64" t="s">
        <v>645</v>
      </c>
      <c r="C64" s="10" t="s">
        <v>646</v>
      </c>
      <c r="D64" s="10">
        <v>112713</v>
      </c>
      <c r="E64" t="s">
        <v>647</v>
      </c>
      <c r="F64" t="s">
        <v>62</v>
      </c>
      <c r="G64" s="39"/>
      <c r="H64" s="10" t="s">
        <v>571</v>
      </c>
      <c r="I64" t="s">
        <v>648</v>
      </c>
      <c r="J64" s="54">
        <v>1500</v>
      </c>
      <c r="K64" s="4">
        <v>46153</v>
      </c>
      <c r="L64" s="40">
        <v>0</v>
      </c>
      <c r="M64" s="40">
        <v>1500</v>
      </c>
      <c r="N64" s="5">
        <v>0.67400000000000004</v>
      </c>
      <c r="O64">
        <v>1011</v>
      </c>
      <c r="P64" t="s">
        <v>65</v>
      </c>
      <c r="Q64" s="6"/>
      <c r="R64" s="41">
        <v>5.9500000000000004E-3</v>
      </c>
      <c r="S64" s="42">
        <v>8.9250000000000007</v>
      </c>
      <c r="T64" s="42">
        <v>500</v>
      </c>
      <c r="U64" s="43">
        <v>0.375</v>
      </c>
      <c r="V64" s="44">
        <v>46126</v>
      </c>
      <c r="W64" s="45">
        <v>46141</v>
      </c>
      <c r="X64" s="46" t="s">
        <v>66</v>
      </c>
      <c r="Y64" s="44">
        <v>46161</v>
      </c>
      <c r="Z64" s="44">
        <v>46164</v>
      </c>
      <c r="AA64" s="46" t="s">
        <v>66</v>
      </c>
      <c r="AB64" s="47">
        <v>23</v>
      </c>
      <c r="AC64" s="1">
        <v>46171</v>
      </c>
      <c r="AD64" s="1">
        <v>46171</v>
      </c>
      <c r="AE64" s="3">
        <v>7</v>
      </c>
      <c r="AF64" s="3" t="s">
        <v>68</v>
      </c>
      <c r="AG64" s="3" t="s">
        <v>68</v>
      </c>
      <c r="AH64" s="3">
        <v>21.5</v>
      </c>
      <c r="AI64" s="3">
        <v>11.571428571428571</v>
      </c>
      <c r="AJ64"/>
      <c r="AK64" s="3" t="s">
        <v>69</v>
      </c>
      <c r="AL64" t="s">
        <v>70</v>
      </c>
      <c r="AM64"/>
      <c r="AN64" t="s">
        <v>72</v>
      </c>
      <c r="AO64" t="s">
        <v>62</v>
      </c>
      <c r="AP64" s="10"/>
      <c r="AQ64" s="1">
        <v>46111</v>
      </c>
      <c r="AR64" s="48" t="e">
        <v>#N/A</v>
      </c>
      <c r="AS64">
        <v>5520</v>
      </c>
      <c r="AT64">
        <v>100</v>
      </c>
      <c r="AU64" t="s">
        <v>649</v>
      </c>
      <c r="AV64">
        <v>8.4139999999999997</v>
      </c>
      <c r="AW64">
        <v>7.58</v>
      </c>
      <c r="AX64">
        <v>700</v>
      </c>
      <c r="AY64">
        <v>38</v>
      </c>
      <c r="AZ64">
        <v>29.5</v>
      </c>
      <c r="BA64">
        <v>19.5</v>
      </c>
      <c r="BB64">
        <v>3</v>
      </c>
      <c r="BC64" s="3" t="s">
        <v>647</v>
      </c>
      <c r="BD64" t="s">
        <v>74</v>
      </c>
      <c r="BE64" t="s">
        <v>75</v>
      </c>
      <c r="BF64" s="49" t="e">
        <v>#N/A</v>
      </c>
      <c r="BG64" s="50" t="s">
        <v>75</v>
      </c>
      <c r="BH64" s="50" t="s">
        <v>75</v>
      </c>
      <c r="BI64" s="50" t="s">
        <v>75</v>
      </c>
    </row>
    <row r="65" spans="1:61" ht="15" x14ac:dyDescent="0.25">
      <c r="A65" s="1">
        <v>46083</v>
      </c>
      <c r="B65" t="s">
        <v>650</v>
      </c>
      <c r="C65" s="10" t="s">
        <v>651</v>
      </c>
      <c r="D65" s="10">
        <v>112507</v>
      </c>
      <c r="E65" t="s">
        <v>652</v>
      </c>
      <c r="F65" t="s">
        <v>62</v>
      </c>
      <c r="G65" s="39"/>
      <c r="H65" s="10" t="s">
        <v>551</v>
      </c>
      <c r="I65" t="s">
        <v>653</v>
      </c>
      <c r="J65" s="54">
        <v>2000</v>
      </c>
      <c r="K65" s="4" t="s">
        <v>64</v>
      </c>
      <c r="L65" s="40">
        <v>0</v>
      </c>
      <c r="M65" s="40">
        <v>2000</v>
      </c>
      <c r="N65" s="5">
        <v>0.78600000000000003</v>
      </c>
      <c r="O65">
        <v>1572</v>
      </c>
      <c r="P65" t="s">
        <v>65</v>
      </c>
      <c r="Q65" s="6"/>
      <c r="R65" s="41">
        <v>1.333E-2</v>
      </c>
      <c r="S65" s="42">
        <v>26.66</v>
      </c>
      <c r="T65" s="42">
        <v>500</v>
      </c>
      <c r="U65" s="43">
        <v>0.5</v>
      </c>
      <c r="V65" s="44">
        <v>46126</v>
      </c>
      <c r="W65" s="45">
        <v>46141</v>
      </c>
      <c r="X65" s="46" t="s">
        <v>66</v>
      </c>
      <c r="Y65" s="44">
        <v>46161</v>
      </c>
      <c r="Z65" s="44">
        <v>46164</v>
      </c>
      <c r="AA65" s="46" t="s">
        <v>66</v>
      </c>
      <c r="AB65" s="47">
        <v>23</v>
      </c>
      <c r="AC65" s="1">
        <v>46171</v>
      </c>
      <c r="AD65" s="1">
        <v>46171</v>
      </c>
      <c r="AE65" s="3">
        <v>7</v>
      </c>
      <c r="AF65" s="3" t="s">
        <v>68</v>
      </c>
      <c r="AG65" s="3" t="s">
        <v>68</v>
      </c>
      <c r="AH65" s="3">
        <v>21.5</v>
      </c>
      <c r="AI65" s="3">
        <v>11.571428571428571</v>
      </c>
      <c r="AJ65"/>
      <c r="AK65" s="3" t="s">
        <v>69</v>
      </c>
      <c r="AL65" t="s">
        <v>70</v>
      </c>
      <c r="AM65"/>
      <c r="AN65" t="s">
        <v>72</v>
      </c>
      <c r="AO65" t="s">
        <v>62</v>
      </c>
      <c r="AP65" s="10"/>
      <c r="AQ65" s="1">
        <v>46111</v>
      </c>
      <c r="AR65" s="48" t="e">
        <v>#N/A</v>
      </c>
      <c r="AS65">
        <v>5517</v>
      </c>
      <c r="AT65">
        <v>100</v>
      </c>
      <c r="AU65" t="s">
        <v>654</v>
      </c>
      <c r="AV65">
        <v>10.039999999999999</v>
      </c>
      <c r="AW65">
        <v>8.66</v>
      </c>
      <c r="AX65">
        <v>750</v>
      </c>
      <c r="AY65">
        <v>36</v>
      </c>
      <c r="AZ65">
        <v>34</v>
      </c>
      <c r="BA65">
        <v>24.5</v>
      </c>
      <c r="BB65">
        <v>3</v>
      </c>
      <c r="BC65" s="3" t="s">
        <v>652</v>
      </c>
      <c r="BD65" t="s">
        <v>74</v>
      </c>
      <c r="BE65" t="s">
        <v>75</v>
      </c>
      <c r="BF65" s="49" t="e">
        <v>#N/A</v>
      </c>
      <c r="BG65" s="50" t="s">
        <v>75</v>
      </c>
      <c r="BH65" s="50" t="s">
        <v>75</v>
      </c>
      <c r="BI65" s="50" t="s">
        <v>75</v>
      </c>
    </row>
    <row r="66" spans="1:61" ht="15" x14ac:dyDescent="0.25">
      <c r="A66" s="1">
        <v>46083</v>
      </c>
      <c r="B66" t="s">
        <v>655</v>
      </c>
      <c r="C66" s="10" t="s">
        <v>656</v>
      </c>
      <c r="D66" s="10">
        <v>112116</v>
      </c>
      <c r="E66" t="s">
        <v>657</v>
      </c>
      <c r="F66" t="s">
        <v>62</v>
      </c>
      <c r="G66" s="39"/>
      <c r="H66" s="10" t="s">
        <v>571</v>
      </c>
      <c r="I66" t="s">
        <v>658</v>
      </c>
      <c r="J66" s="54">
        <v>2000</v>
      </c>
      <c r="K66" s="4">
        <v>46153</v>
      </c>
      <c r="L66" s="40">
        <v>0</v>
      </c>
      <c r="M66" s="40">
        <v>2000</v>
      </c>
      <c r="N66" s="5">
        <v>0.63600000000000001</v>
      </c>
      <c r="O66">
        <v>1272</v>
      </c>
      <c r="P66" t="s">
        <v>65</v>
      </c>
      <c r="Q66" s="6"/>
      <c r="R66" s="41">
        <v>1.391E-2</v>
      </c>
      <c r="S66" s="42">
        <v>27.82</v>
      </c>
      <c r="T66" s="42">
        <v>400</v>
      </c>
      <c r="U66" s="43">
        <v>0.625</v>
      </c>
      <c r="V66" s="44">
        <v>46126</v>
      </c>
      <c r="W66" s="45">
        <v>46141</v>
      </c>
      <c r="X66" s="46" t="s">
        <v>66</v>
      </c>
      <c r="Y66" s="44">
        <v>46161</v>
      </c>
      <c r="Z66" s="44">
        <v>46164</v>
      </c>
      <c r="AA66" s="46" t="s">
        <v>66</v>
      </c>
      <c r="AB66" s="47">
        <v>23</v>
      </c>
      <c r="AC66" s="1">
        <v>46171</v>
      </c>
      <c r="AD66" s="1">
        <v>46171</v>
      </c>
      <c r="AE66" s="3">
        <v>7</v>
      </c>
      <c r="AF66" s="3" t="s">
        <v>68</v>
      </c>
      <c r="AG66" s="3" t="s">
        <v>68</v>
      </c>
      <c r="AH66" s="3">
        <v>21.5</v>
      </c>
      <c r="AI66" s="3">
        <v>11.571428571428571</v>
      </c>
      <c r="AJ66"/>
      <c r="AK66" s="3" t="s">
        <v>69</v>
      </c>
      <c r="AL66" t="s">
        <v>70</v>
      </c>
      <c r="AM66"/>
      <c r="AN66" t="s">
        <v>72</v>
      </c>
      <c r="AO66" t="s">
        <v>62</v>
      </c>
      <c r="AP66" s="10"/>
      <c r="AQ66" s="1">
        <v>46111</v>
      </c>
      <c r="AR66" s="48" t="e">
        <v>#N/A</v>
      </c>
      <c r="AS66">
        <v>5515</v>
      </c>
      <c r="AT66">
        <v>100</v>
      </c>
      <c r="AU66" t="s">
        <v>659</v>
      </c>
      <c r="AV66">
        <v>10.210000000000001</v>
      </c>
      <c r="AW66">
        <v>9.31</v>
      </c>
      <c r="AX66">
        <v>800</v>
      </c>
      <c r="AY66">
        <v>36</v>
      </c>
      <c r="AZ66">
        <v>34</v>
      </c>
      <c r="BA66">
        <v>24.5</v>
      </c>
      <c r="BB66">
        <v>3</v>
      </c>
      <c r="BC66" s="3" t="s">
        <v>657</v>
      </c>
      <c r="BD66" t="s">
        <v>74</v>
      </c>
      <c r="BE66" t="s">
        <v>75</v>
      </c>
      <c r="BF66" s="49" t="e">
        <v>#N/A</v>
      </c>
      <c r="BG66" s="50" t="s">
        <v>75</v>
      </c>
      <c r="BH66" s="50" t="s">
        <v>75</v>
      </c>
      <c r="BI66" s="50" t="s">
        <v>75</v>
      </c>
    </row>
    <row r="67" spans="1:61" ht="15" x14ac:dyDescent="0.25">
      <c r="A67" s="1">
        <v>46083</v>
      </c>
      <c r="B67" t="s">
        <v>479</v>
      </c>
      <c r="C67" s="10" t="s">
        <v>480</v>
      </c>
      <c r="D67" s="10" t="s">
        <v>481</v>
      </c>
      <c r="E67" t="s">
        <v>669</v>
      </c>
      <c r="F67" t="s">
        <v>62</v>
      </c>
      <c r="G67" s="39"/>
      <c r="H67" s="10" t="s">
        <v>571</v>
      </c>
      <c r="I67" t="s">
        <v>670</v>
      </c>
      <c r="J67" s="54">
        <v>2000</v>
      </c>
      <c r="K67" s="4">
        <v>46153</v>
      </c>
      <c r="L67" s="40">
        <v>0</v>
      </c>
      <c r="M67" s="40">
        <v>2000</v>
      </c>
      <c r="N67" s="5">
        <v>0.81299999999999994</v>
      </c>
      <c r="O67">
        <v>1626</v>
      </c>
      <c r="P67" t="s">
        <v>65</v>
      </c>
      <c r="Q67" s="6"/>
      <c r="R67" s="41">
        <v>6.1399999999999996E-3</v>
      </c>
      <c r="S67" s="42">
        <v>12.28</v>
      </c>
      <c r="T67" s="42">
        <v>450</v>
      </c>
      <c r="U67" s="43">
        <v>0.55555555555555558</v>
      </c>
      <c r="V67" s="44">
        <v>46126</v>
      </c>
      <c r="W67" s="45">
        <v>46141</v>
      </c>
      <c r="X67" s="46" t="s">
        <v>66</v>
      </c>
      <c r="Y67" s="44">
        <v>46161</v>
      </c>
      <c r="Z67" s="44">
        <v>46164</v>
      </c>
      <c r="AA67" s="46" t="s">
        <v>66</v>
      </c>
      <c r="AB67" s="47">
        <v>23</v>
      </c>
      <c r="AC67" s="1">
        <v>46123</v>
      </c>
      <c r="AD67" s="1">
        <v>46157</v>
      </c>
      <c r="AE67" s="3">
        <v>-7</v>
      </c>
      <c r="AF67" s="3" t="s">
        <v>69</v>
      </c>
      <c r="AG67" s="3" t="s">
        <v>69</v>
      </c>
      <c r="AH67" s="3">
        <v>21.5</v>
      </c>
      <c r="AI67" s="3">
        <v>11.571428571428571</v>
      </c>
      <c r="AJ67"/>
      <c r="AK67" s="3" t="s">
        <v>69</v>
      </c>
      <c r="AL67" t="s">
        <v>80</v>
      </c>
      <c r="AM67"/>
      <c r="AN67" t="s">
        <v>72</v>
      </c>
      <c r="AO67" t="s">
        <v>62</v>
      </c>
      <c r="AP67" s="10"/>
      <c r="AQ67" s="1">
        <v>46111</v>
      </c>
      <c r="AR67" s="48" t="e">
        <v>#N/A</v>
      </c>
      <c r="AS67">
        <v>5510</v>
      </c>
      <c r="AT67">
        <v>100</v>
      </c>
      <c r="AU67" t="s">
        <v>671</v>
      </c>
      <c r="AV67">
        <v>7.02</v>
      </c>
      <c r="AW67">
        <v>10.06</v>
      </c>
      <c r="AX67">
        <v>1000</v>
      </c>
      <c r="AY67">
        <v>36</v>
      </c>
      <c r="AZ67">
        <v>34</v>
      </c>
      <c r="BA67">
        <v>24.5</v>
      </c>
      <c r="BB67">
        <v>2</v>
      </c>
      <c r="BC67" s="3" t="s">
        <v>669</v>
      </c>
      <c r="BD67" t="s">
        <v>74</v>
      </c>
      <c r="BE67" t="s">
        <v>75</v>
      </c>
      <c r="BF67" s="49" t="e">
        <v>#N/A</v>
      </c>
      <c r="BG67" s="50" t="s">
        <v>75</v>
      </c>
      <c r="BH67" s="50" t="s">
        <v>75</v>
      </c>
      <c r="BI67" s="50" t="s">
        <v>75</v>
      </c>
    </row>
    <row r="68" spans="1:61" ht="15" x14ac:dyDescent="0.25">
      <c r="A68" s="1">
        <v>46083</v>
      </c>
      <c r="B68" t="s">
        <v>672</v>
      </c>
      <c r="C68" s="10" t="s">
        <v>673</v>
      </c>
      <c r="D68" s="10">
        <v>132331</v>
      </c>
      <c r="E68" t="s">
        <v>674</v>
      </c>
      <c r="F68" t="s">
        <v>62</v>
      </c>
      <c r="G68" s="39"/>
      <c r="H68" s="10" t="s">
        <v>551</v>
      </c>
      <c r="I68" t="s">
        <v>675</v>
      </c>
      <c r="J68" s="54">
        <v>4000</v>
      </c>
      <c r="K68" s="4" t="s">
        <v>64</v>
      </c>
      <c r="L68" s="40">
        <v>0</v>
      </c>
      <c r="M68" s="40">
        <v>4000</v>
      </c>
      <c r="N68" s="5">
        <v>1.6859999999999999</v>
      </c>
      <c r="O68">
        <v>6744</v>
      </c>
      <c r="P68" t="s">
        <v>65</v>
      </c>
      <c r="Q68" s="6"/>
      <c r="R68" s="41">
        <v>7.77E-3</v>
      </c>
      <c r="S68" s="42">
        <v>31.08</v>
      </c>
      <c r="T68" s="42">
        <v>500</v>
      </c>
      <c r="U68" s="43">
        <v>1</v>
      </c>
      <c r="V68" s="44">
        <v>46126</v>
      </c>
      <c r="W68" s="45">
        <v>46141</v>
      </c>
      <c r="X68" s="46" t="s">
        <v>66</v>
      </c>
      <c r="Y68" s="44">
        <v>46161</v>
      </c>
      <c r="Z68" s="44">
        <v>46164</v>
      </c>
      <c r="AA68" s="46" t="s">
        <v>66</v>
      </c>
      <c r="AB68" s="47">
        <v>23</v>
      </c>
      <c r="AC68" s="1">
        <v>46171</v>
      </c>
      <c r="AD68" s="1">
        <v>46171</v>
      </c>
      <c r="AE68" s="3">
        <v>7</v>
      </c>
      <c r="AF68" s="3" t="s">
        <v>68</v>
      </c>
      <c r="AG68" s="3" t="s">
        <v>68</v>
      </c>
      <c r="AH68" s="3">
        <v>21.5</v>
      </c>
      <c r="AI68" s="3">
        <v>11.571428571428571</v>
      </c>
      <c r="AJ68"/>
      <c r="AK68" s="3" t="s">
        <v>69</v>
      </c>
      <c r="AL68" t="s">
        <v>70</v>
      </c>
      <c r="AM68"/>
      <c r="AN68" t="s">
        <v>72</v>
      </c>
      <c r="AO68" t="s">
        <v>62</v>
      </c>
      <c r="AP68" s="10"/>
      <c r="AQ68" s="1">
        <v>46111</v>
      </c>
      <c r="AR68" s="48" t="e">
        <v>#N/A</v>
      </c>
      <c r="AS68">
        <v>5504</v>
      </c>
      <c r="AT68">
        <v>100</v>
      </c>
      <c r="AU68" t="s">
        <v>676</v>
      </c>
      <c r="AV68">
        <v>2.4900000000000002</v>
      </c>
      <c r="AW68">
        <v>4.8099999999999996</v>
      </c>
      <c r="AX68">
        <v>1000</v>
      </c>
      <c r="AY68">
        <v>38</v>
      </c>
      <c r="AZ68">
        <v>29.5</v>
      </c>
      <c r="BA68">
        <v>19.5</v>
      </c>
      <c r="BB68">
        <v>4</v>
      </c>
      <c r="BC68" s="3" t="s">
        <v>674</v>
      </c>
      <c r="BD68" t="s">
        <v>74</v>
      </c>
      <c r="BE68" t="s">
        <v>75</v>
      </c>
      <c r="BF68" s="49" t="e">
        <v>#N/A</v>
      </c>
      <c r="BG68" s="50" t="s">
        <v>75</v>
      </c>
      <c r="BH68" s="50" t="s">
        <v>75</v>
      </c>
      <c r="BI68" s="50" t="s">
        <v>75</v>
      </c>
    </row>
    <row r="69" spans="1:61" ht="15" x14ac:dyDescent="0.25">
      <c r="A69" s="1">
        <v>46083</v>
      </c>
      <c r="B69" t="s">
        <v>677</v>
      </c>
      <c r="C69" s="10" t="s">
        <v>678</v>
      </c>
      <c r="D69" s="10">
        <v>112160</v>
      </c>
      <c r="E69" t="s">
        <v>679</v>
      </c>
      <c r="F69" t="s">
        <v>62</v>
      </c>
      <c r="G69" s="39"/>
      <c r="H69" s="10" t="s">
        <v>551</v>
      </c>
      <c r="I69" t="s">
        <v>680</v>
      </c>
      <c r="J69" s="54">
        <v>2500</v>
      </c>
      <c r="K69" s="4" t="s">
        <v>64</v>
      </c>
      <c r="L69" s="40">
        <v>0</v>
      </c>
      <c r="M69" s="40">
        <v>2500</v>
      </c>
      <c r="N69" s="5">
        <v>0.94799999999999995</v>
      </c>
      <c r="O69">
        <v>2370</v>
      </c>
      <c r="P69" t="s">
        <v>65</v>
      </c>
      <c r="Q69" s="6"/>
      <c r="R69" s="41">
        <v>5.9800000000000001E-3</v>
      </c>
      <c r="S69" s="42">
        <v>14.950000000000001</v>
      </c>
      <c r="T69" s="42">
        <v>500</v>
      </c>
      <c r="U69" s="43">
        <v>0.625</v>
      </c>
      <c r="V69" s="44">
        <v>46126</v>
      </c>
      <c r="W69" s="45">
        <v>46141</v>
      </c>
      <c r="X69" s="46" t="s">
        <v>66</v>
      </c>
      <c r="Y69" s="44">
        <v>46161</v>
      </c>
      <c r="Z69" s="44">
        <v>46164</v>
      </c>
      <c r="AA69" s="46" t="s">
        <v>66</v>
      </c>
      <c r="AB69" s="47">
        <v>23</v>
      </c>
      <c r="AC69" s="1">
        <v>46171</v>
      </c>
      <c r="AD69" s="1">
        <v>46171</v>
      </c>
      <c r="AE69" s="3">
        <v>7</v>
      </c>
      <c r="AF69" s="3" t="s">
        <v>68</v>
      </c>
      <c r="AG69" s="3" t="s">
        <v>68</v>
      </c>
      <c r="AH69" s="3">
        <v>21.5</v>
      </c>
      <c r="AI69" s="3">
        <v>11.571428571428571</v>
      </c>
      <c r="AJ69"/>
      <c r="AK69" s="3" t="s">
        <v>69</v>
      </c>
      <c r="AL69" t="s">
        <v>70</v>
      </c>
      <c r="AM69"/>
      <c r="AN69" t="s">
        <v>72</v>
      </c>
      <c r="AO69" t="s">
        <v>62</v>
      </c>
      <c r="AP69" s="10"/>
      <c r="AQ69" s="1">
        <v>46111</v>
      </c>
      <c r="AR69" s="48" t="e">
        <v>#N/A</v>
      </c>
      <c r="AS69">
        <v>5502</v>
      </c>
      <c r="AT69">
        <v>100</v>
      </c>
      <c r="AU69" t="s">
        <v>681</v>
      </c>
      <c r="AV69">
        <v>9.4499999999999993</v>
      </c>
      <c r="AW69">
        <v>9.4600000000000009</v>
      </c>
      <c r="AX69">
        <v>800</v>
      </c>
      <c r="AY69">
        <v>38</v>
      </c>
      <c r="AZ69">
        <v>29.5</v>
      </c>
      <c r="BA69">
        <v>19.5</v>
      </c>
      <c r="BB69">
        <v>4</v>
      </c>
      <c r="BC69" s="3" t="s">
        <v>679</v>
      </c>
      <c r="BD69" t="s">
        <v>74</v>
      </c>
      <c r="BE69" t="s">
        <v>75</v>
      </c>
      <c r="BF69" s="49" t="e">
        <v>#N/A</v>
      </c>
      <c r="BG69" s="50" t="s">
        <v>75</v>
      </c>
      <c r="BH69" s="50" t="s">
        <v>75</v>
      </c>
      <c r="BI69" s="50" t="s">
        <v>75</v>
      </c>
    </row>
    <row r="70" spans="1:61" ht="15" x14ac:dyDescent="0.25">
      <c r="A70" s="1">
        <v>46084</v>
      </c>
      <c r="B70" t="s">
        <v>655</v>
      </c>
      <c r="C70" t="s">
        <v>656</v>
      </c>
      <c r="D70" s="55">
        <v>112116</v>
      </c>
      <c r="E70" t="s">
        <v>682</v>
      </c>
      <c r="F70" t="s">
        <v>62</v>
      </c>
      <c r="G70" s="39"/>
      <c r="H70" s="10" t="s">
        <v>571</v>
      </c>
      <c r="I70" t="s">
        <v>683</v>
      </c>
      <c r="J70">
        <v>1000</v>
      </c>
      <c r="K70" s="4">
        <v>46153</v>
      </c>
      <c r="L70" s="40">
        <v>0</v>
      </c>
      <c r="M70" s="40">
        <v>1000</v>
      </c>
      <c r="N70">
        <v>0.63600000000000001</v>
      </c>
      <c r="O70">
        <v>636</v>
      </c>
      <c r="P70" t="s">
        <v>65</v>
      </c>
      <c r="Q70" s="6"/>
      <c r="R70" s="41">
        <v>1.391E-2</v>
      </c>
      <c r="S70" s="42">
        <v>13.91</v>
      </c>
      <c r="T70" s="42">
        <v>400</v>
      </c>
      <c r="U70" s="43">
        <v>0.3125</v>
      </c>
      <c r="V70" s="44">
        <v>46126</v>
      </c>
      <c r="W70" s="45">
        <v>46141</v>
      </c>
      <c r="X70" s="46" t="s">
        <v>66</v>
      </c>
      <c r="Y70" s="44">
        <v>46161</v>
      </c>
      <c r="Z70" s="44">
        <v>46164</v>
      </c>
      <c r="AA70" s="46" t="s">
        <v>66</v>
      </c>
      <c r="AB70" s="47">
        <v>23</v>
      </c>
      <c r="AC70" s="1">
        <v>46171</v>
      </c>
      <c r="AD70" s="1">
        <v>46171</v>
      </c>
      <c r="AE70" s="3">
        <v>7</v>
      </c>
      <c r="AF70" s="3" t="s">
        <v>68</v>
      </c>
      <c r="AG70" s="3" t="s">
        <v>68</v>
      </c>
      <c r="AH70" s="3">
        <v>20.5</v>
      </c>
      <c r="AI70" s="3">
        <v>11.428571428571429</v>
      </c>
      <c r="AJ70"/>
      <c r="AK70" s="3" t="s">
        <v>69</v>
      </c>
      <c r="AL70" t="s">
        <v>70</v>
      </c>
      <c r="AM70"/>
      <c r="AN70" t="s">
        <v>72</v>
      </c>
      <c r="AO70" t="s">
        <v>62</v>
      </c>
      <c r="AP70" s="10"/>
      <c r="AQ70" s="1">
        <v>46112</v>
      </c>
      <c r="AR70" s="48" t="e">
        <v>#N/A</v>
      </c>
      <c r="AS70">
        <v>5544</v>
      </c>
      <c r="AT70">
        <v>100</v>
      </c>
      <c r="AU70" t="s">
        <v>684</v>
      </c>
      <c r="AV70">
        <v>10.210000000000001</v>
      </c>
      <c r="AW70">
        <v>9.31</v>
      </c>
      <c r="AX70">
        <v>800</v>
      </c>
      <c r="AY70">
        <v>36</v>
      </c>
      <c r="AZ70">
        <v>34</v>
      </c>
      <c r="BA70">
        <v>24.5</v>
      </c>
      <c r="BB70">
        <v>2</v>
      </c>
      <c r="BC70" s="3" t="s">
        <v>682</v>
      </c>
      <c r="BD70" t="s">
        <v>74</v>
      </c>
      <c r="BE70" t="s">
        <v>75</v>
      </c>
      <c r="BF70" s="49" t="e">
        <v>#N/A</v>
      </c>
      <c r="BG70" s="50" t="s">
        <v>75</v>
      </c>
      <c r="BH70" s="50" t="s">
        <v>75</v>
      </c>
      <c r="BI70" s="50" t="s">
        <v>75</v>
      </c>
    </row>
    <row r="71" spans="1:61" ht="15" x14ac:dyDescent="0.25">
      <c r="A71" s="1">
        <v>46084</v>
      </c>
      <c r="B71" t="s">
        <v>479</v>
      </c>
      <c r="C71" t="s">
        <v>480</v>
      </c>
      <c r="D71" s="55" t="s">
        <v>481</v>
      </c>
      <c r="E71" t="s">
        <v>691</v>
      </c>
      <c r="F71" t="s">
        <v>62</v>
      </c>
      <c r="G71" s="39"/>
      <c r="H71" s="10" t="s">
        <v>551</v>
      </c>
      <c r="I71" t="s">
        <v>692</v>
      </c>
      <c r="J71">
        <v>2500</v>
      </c>
      <c r="K71" s="4" t="s">
        <v>64</v>
      </c>
      <c r="L71" s="40">
        <v>0</v>
      </c>
      <c r="M71" s="40">
        <v>2500</v>
      </c>
      <c r="N71">
        <v>0.81299999999999994</v>
      </c>
      <c r="O71">
        <v>2032.5</v>
      </c>
      <c r="P71" t="s">
        <v>65</v>
      </c>
      <c r="Q71" s="6"/>
      <c r="R71" s="41">
        <v>6.1399999999999996E-3</v>
      </c>
      <c r="S71" s="42">
        <v>15.35</v>
      </c>
      <c r="T71" s="42">
        <v>450</v>
      </c>
      <c r="U71" s="43">
        <v>0.69444444444444442</v>
      </c>
      <c r="V71" s="44">
        <v>46126</v>
      </c>
      <c r="W71" s="45">
        <v>46141</v>
      </c>
      <c r="X71" s="46" t="s">
        <v>66</v>
      </c>
      <c r="Y71" s="44">
        <v>46161</v>
      </c>
      <c r="Z71" s="44">
        <v>46164</v>
      </c>
      <c r="AA71" s="46" t="s">
        <v>66</v>
      </c>
      <c r="AB71" s="47">
        <v>23</v>
      </c>
      <c r="AC71" s="1">
        <v>46130</v>
      </c>
      <c r="AD71" s="1">
        <v>46157</v>
      </c>
      <c r="AE71" s="3">
        <v>-7</v>
      </c>
      <c r="AF71" s="3" t="s">
        <v>69</v>
      </c>
      <c r="AG71" s="3" t="s">
        <v>69</v>
      </c>
      <c r="AH71" s="3">
        <v>20.5</v>
      </c>
      <c r="AI71" s="3">
        <v>11.428571428571429</v>
      </c>
      <c r="AJ71"/>
      <c r="AK71" s="3" t="s">
        <v>69</v>
      </c>
      <c r="AL71" t="s">
        <v>80</v>
      </c>
      <c r="AM71"/>
      <c r="AN71" t="s">
        <v>72</v>
      </c>
      <c r="AO71" t="s">
        <v>62</v>
      </c>
      <c r="AP71" s="10"/>
      <c r="AQ71" s="1">
        <v>46112</v>
      </c>
      <c r="AR71" s="48" t="e">
        <v>#N/A</v>
      </c>
      <c r="AS71">
        <v>5539</v>
      </c>
      <c r="AT71">
        <v>100</v>
      </c>
      <c r="AU71" t="s">
        <v>693</v>
      </c>
      <c r="AV71">
        <v>7.02</v>
      </c>
      <c r="AW71">
        <v>10.06</v>
      </c>
      <c r="AX71">
        <v>1000</v>
      </c>
      <c r="AY71">
        <v>36</v>
      </c>
      <c r="AZ71">
        <v>34</v>
      </c>
      <c r="BA71">
        <v>24.5</v>
      </c>
      <c r="BB71">
        <v>3</v>
      </c>
      <c r="BC71" s="3" t="s">
        <v>691</v>
      </c>
      <c r="BD71" t="s">
        <v>74</v>
      </c>
      <c r="BE71" t="s">
        <v>75</v>
      </c>
      <c r="BF71" s="49" t="e">
        <v>#N/A</v>
      </c>
      <c r="BG71" s="50" t="s">
        <v>75</v>
      </c>
      <c r="BH71" s="50" t="s">
        <v>75</v>
      </c>
      <c r="BI71" s="50" t="s">
        <v>75</v>
      </c>
    </row>
    <row r="72" spans="1:61" ht="15" x14ac:dyDescent="0.25">
      <c r="A72" s="1">
        <v>46085</v>
      </c>
      <c r="B72" t="s">
        <v>694</v>
      </c>
      <c r="C72" t="s">
        <v>695</v>
      </c>
      <c r="D72">
        <v>112459</v>
      </c>
      <c r="E72" t="s">
        <v>696</v>
      </c>
      <c r="F72" t="s">
        <v>62</v>
      </c>
      <c r="G72" s="39"/>
      <c r="H72" s="10" t="s">
        <v>571</v>
      </c>
      <c r="I72" t="s">
        <v>697</v>
      </c>
      <c r="J72">
        <v>500</v>
      </c>
      <c r="K72" s="4">
        <v>46153</v>
      </c>
      <c r="L72" s="40">
        <v>0</v>
      </c>
      <c r="M72" s="40">
        <v>500</v>
      </c>
      <c r="N72">
        <v>2.331</v>
      </c>
      <c r="O72">
        <v>1165.5</v>
      </c>
      <c r="P72" t="s">
        <v>65</v>
      </c>
      <c r="Q72" s="6"/>
      <c r="R72" s="41">
        <v>3.7769999999999998E-2</v>
      </c>
      <c r="S72" s="42">
        <v>18.884999999999998</v>
      </c>
      <c r="T72" s="42">
        <v>390</v>
      </c>
      <c r="U72" s="43">
        <v>0.16025641025641027</v>
      </c>
      <c r="V72" s="44">
        <v>46133</v>
      </c>
      <c r="W72" s="45">
        <v>46148</v>
      </c>
      <c r="X72" s="46" t="s">
        <v>66</v>
      </c>
      <c r="Y72" s="44">
        <v>46161</v>
      </c>
      <c r="Z72" s="44">
        <v>46164</v>
      </c>
      <c r="AA72" s="46" t="s">
        <v>66</v>
      </c>
      <c r="AB72" s="47">
        <v>16</v>
      </c>
      <c r="AC72" s="1">
        <v>46164</v>
      </c>
      <c r="AD72" s="1">
        <v>46164</v>
      </c>
      <c r="AE72" s="3">
        <v>0</v>
      </c>
      <c r="AF72" s="3" t="s">
        <v>68</v>
      </c>
      <c r="AG72" s="3" t="s">
        <v>68</v>
      </c>
      <c r="AH72" s="3">
        <v>19.5</v>
      </c>
      <c r="AI72" s="3">
        <v>11.285714285714286</v>
      </c>
      <c r="AJ72"/>
      <c r="AK72" s="3" t="s">
        <v>69</v>
      </c>
      <c r="AL72" t="s">
        <v>70</v>
      </c>
      <c r="AM72" t="s">
        <v>71</v>
      </c>
      <c r="AN72" t="s">
        <v>72</v>
      </c>
      <c r="AO72" t="s">
        <v>62</v>
      </c>
      <c r="AP72" s="10"/>
      <c r="AQ72" s="1">
        <v>46113</v>
      </c>
      <c r="AR72" s="48" t="e">
        <v>#N/A</v>
      </c>
      <c r="AS72">
        <v>5555</v>
      </c>
      <c r="AT72">
        <v>100</v>
      </c>
      <c r="AU72" t="s">
        <v>698</v>
      </c>
      <c r="AV72">
        <v>20.47</v>
      </c>
      <c r="AW72">
        <v>12.12</v>
      </c>
      <c r="AX72">
        <v>500</v>
      </c>
      <c r="AY72">
        <v>36</v>
      </c>
      <c r="AZ72">
        <v>33</v>
      </c>
      <c r="BA72">
        <v>23</v>
      </c>
      <c r="BB72">
        <v>1</v>
      </c>
      <c r="BC72" s="3" t="s">
        <v>696</v>
      </c>
      <c r="BD72" t="s">
        <v>699</v>
      </c>
      <c r="BE72" t="s">
        <v>75</v>
      </c>
      <c r="BF72" s="49" t="e">
        <v>#N/A</v>
      </c>
      <c r="BG72" s="50" t="s">
        <v>75</v>
      </c>
      <c r="BH72" s="50" t="s">
        <v>75</v>
      </c>
      <c r="BI72" s="50" t="s">
        <v>75</v>
      </c>
    </row>
    <row r="73" spans="1:61" ht="15" x14ac:dyDescent="0.25">
      <c r="A73" s="1">
        <v>46086</v>
      </c>
      <c r="B73" t="s">
        <v>706</v>
      </c>
      <c r="C73" t="s">
        <v>707</v>
      </c>
      <c r="D73" t="s">
        <v>708</v>
      </c>
      <c r="E73" t="s">
        <v>709</v>
      </c>
      <c r="F73" t="s">
        <v>62</v>
      </c>
      <c r="G73" s="39"/>
      <c r="H73" s="10" t="s">
        <v>571</v>
      </c>
      <c r="I73" t="s">
        <v>710</v>
      </c>
      <c r="J73">
        <v>1000</v>
      </c>
      <c r="K73" s="4">
        <v>46153</v>
      </c>
      <c r="L73" s="40">
        <v>0</v>
      </c>
      <c r="M73" s="40">
        <v>1000</v>
      </c>
      <c r="N73" s="5">
        <v>1.5</v>
      </c>
      <c r="O73">
        <v>1500</v>
      </c>
      <c r="P73" t="s">
        <v>65</v>
      </c>
      <c r="Q73" s="6"/>
      <c r="R73" s="41">
        <v>1.7000000000000001E-2</v>
      </c>
      <c r="S73" s="42">
        <v>17</v>
      </c>
      <c r="T73" s="84">
        <v>500</v>
      </c>
      <c r="U73" s="43" t="s">
        <v>209</v>
      </c>
      <c r="V73" s="44">
        <v>46131</v>
      </c>
      <c r="W73" s="45">
        <v>46146</v>
      </c>
      <c r="X73" s="46" t="s">
        <v>66</v>
      </c>
      <c r="Y73" s="44">
        <v>46161</v>
      </c>
      <c r="Z73" s="44">
        <v>46164</v>
      </c>
      <c r="AA73" s="46" t="s">
        <v>66</v>
      </c>
      <c r="AB73" s="47">
        <v>18</v>
      </c>
      <c r="AC73" s="1">
        <v>46164</v>
      </c>
      <c r="AD73" s="1">
        <v>46164</v>
      </c>
      <c r="AE73" s="3">
        <v>0</v>
      </c>
      <c r="AF73" s="3" t="s">
        <v>68</v>
      </c>
      <c r="AG73" s="3" t="s">
        <v>68</v>
      </c>
      <c r="AH73" s="3">
        <v>18.5</v>
      </c>
      <c r="AI73" s="3">
        <v>11.142857142857142</v>
      </c>
      <c r="AJ73"/>
      <c r="AK73" s="3" t="s">
        <v>69</v>
      </c>
      <c r="AL73" t="s">
        <v>70</v>
      </c>
      <c r="AM73" t="s">
        <v>71</v>
      </c>
      <c r="AN73" t="s">
        <v>72</v>
      </c>
      <c r="AO73" t="s">
        <v>62</v>
      </c>
      <c r="AP73" s="10"/>
      <c r="AQ73" s="1">
        <v>46114</v>
      </c>
      <c r="AR73" s="48" t="e">
        <v>#N/A</v>
      </c>
      <c r="AS73">
        <v>5585</v>
      </c>
      <c r="AT73">
        <v>100</v>
      </c>
      <c r="AU73" t="s">
        <v>711</v>
      </c>
      <c r="AV73">
        <v>6.96</v>
      </c>
      <c r="AW73">
        <v>7.75</v>
      </c>
      <c r="AX73">
        <v>800</v>
      </c>
      <c r="AY73">
        <v>38</v>
      </c>
      <c r="AZ73">
        <v>29.5</v>
      </c>
      <c r="BA73">
        <v>19.5</v>
      </c>
      <c r="BB73">
        <v>2</v>
      </c>
      <c r="BC73" s="3" t="s">
        <v>709</v>
      </c>
      <c r="BD73" t="s">
        <v>74</v>
      </c>
      <c r="BE73" t="s">
        <v>75</v>
      </c>
      <c r="BF73" s="49" t="e">
        <v>#N/A</v>
      </c>
      <c r="BG73" s="50" t="s">
        <v>75</v>
      </c>
      <c r="BH73" s="50" t="s">
        <v>75</v>
      </c>
      <c r="BI73" s="50" t="s">
        <v>75</v>
      </c>
    </row>
    <row r="74" spans="1:61" ht="15" x14ac:dyDescent="0.25">
      <c r="A74" s="1">
        <v>46086</v>
      </c>
      <c r="B74" t="s">
        <v>655</v>
      </c>
      <c r="C74" t="s">
        <v>656</v>
      </c>
      <c r="D74">
        <v>112116</v>
      </c>
      <c r="E74" t="s">
        <v>717</v>
      </c>
      <c r="F74" t="s">
        <v>62</v>
      </c>
      <c r="G74" s="39"/>
      <c r="H74" s="10" t="s">
        <v>571</v>
      </c>
      <c r="I74" t="s">
        <v>718</v>
      </c>
      <c r="J74">
        <v>2000</v>
      </c>
      <c r="K74" s="4">
        <v>46153</v>
      </c>
      <c r="L74" s="40">
        <v>0</v>
      </c>
      <c r="M74" s="40">
        <v>2000</v>
      </c>
      <c r="N74" s="5">
        <v>0.63600000000000001</v>
      </c>
      <c r="O74">
        <v>1272</v>
      </c>
      <c r="P74" t="s">
        <v>65</v>
      </c>
      <c r="Q74" s="6"/>
      <c r="R74" s="41">
        <v>1.391E-2</v>
      </c>
      <c r="S74" s="42">
        <v>27.82</v>
      </c>
      <c r="T74" s="42">
        <v>400</v>
      </c>
      <c r="U74" s="43">
        <v>0.625</v>
      </c>
      <c r="V74" s="44">
        <v>46126</v>
      </c>
      <c r="W74" s="45">
        <v>46141</v>
      </c>
      <c r="X74" s="46" t="s">
        <v>66</v>
      </c>
      <c r="Y74" s="44">
        <v>46161</v>
      </c>
      <c r="Z74" s="44">
        <v>46164</v>
      </c>
      <c r="AA74" s="46" t="s">
        <v>66</v>
      </c>
      <c r="AB74" s="47">
        <v>23</v>
      </c>
      <c r="AC74" s="1">
        <v>46171</v>
      </c>
      <c r="AD74" s="1">
        <v>46171</v>
      </c>
      <c r="AE74" s="3">
        <v>7</v>
      </c>
      <c r="AF74" s="3" t="s">
        <v>68</v>
      </c>
      <c r="AG74" s="3" t="s">
        <v>68</v>
      </c>
      <c r="AH74" s="3">
        <v>18.5</v>
      </c>
      <c r="AI74" s="3">
        <v>11.142857142857142</v>
      </c>
      <c r="AJ74"/>
      <c r="AK74" s="3" t="s">
        <v>69</v>
      </c>
      <c r="AL74" t="s">
        <v>70</v>
      </c>
      <c r="AM74"/>
      <c r="AN74" t="s">
        <v>72</v>
      </c>
      <c r="AO74" t="s">
        <v>62</v>
      </c>
      <c r="AP74" s="10"/>
      <c r="AQ74" s="1">
        <v>46114</v>
      </c>
      <c r="AR74" s="48" t="e">
        <v>#N/A</v>
      </c>
      <c r="AS74">
        <v>5579</v>
      </c>
      <c r="AT74">
        <v>100</v>
      </c>
      <c r="AU74" t="s">
        <v>719</v>
      </c>
      <c r="AV74">
        <v>10.210000000000001</v>
      </c>
      <c r="AW74">
        <v>9.31</v>
      </c>
      <c r="AX74">
        <v>800</v>
      </c>
      <c r="AY74">
        <v>36</v>
      </c>
      <c r="AZ74">
        <v>34</v>
      </c>
      <c r="BA74">
        <v>24.5</v>
      </c>
      <c r="BB74">
        <v>3</v>
      </c>
      <c r="BC74" s="3" t="s">
        <v>717</v>
      </c>
      <c r="BD74" t="s">
        <v>74</v>
      </c>
      <c r="BE74" t="s">
        <v>75</v>
      </c>
      <c r="BF74" s="49" t="e">
        <v>#N/A</v>
      </c>
      <c r="BG74" s="50" t="s">
        <v>75</v>
      </c>
      <c r="BH74" s="50" t="s">
        <v>75</v>
      </c>
      <c r="BI74" s="50" t="s">
        <v>75</v>
      </c>
    </row>
    <row r="75" spans="1:61" ht="15" x14ac:dyDescent="0.25">
      <c r="A75" s="1">
        <v>46086</v>
      </c>
      <c r="B75" t="s">
        <v>479</v>
      </c>
      <c r="C75" t="s">
        <v>480</v>
      </c>
      <c r="D75" t="s">
        <v>481</v>
      </c>
      <c r="E75" t="s">
        <v>723</v>
      </c>
      <c r="F75" t="s">
        <v>62</v>
      </c>
      <c r="G75" s="39"/>
      <c r="H75" s="10" t="s">
        <v>551</v>
      </c>
      <c r="I75" t="s">
        <v>724</v>
      </c>
      <c r="J75">
        <v>2500</v>
      </c>
      <c r="K75" s="4" t="s">
        <v>64</v>
      </c>
      <c r="L75" s="40">
        <v>0</v>
      </c>
      <c r="M75" s="40">
        <v>2500</v>
      </c>
      <c r="N75" s="5">
        <v>0.81299999999999994</v>
      </c>
      <c r="O75">
        <v>2032.5</v>
      </c>
      <c r="P75" t="s">
        <v>65</v>
      </c>
      <c r="Q75" s="6"/>
      <c r="R75" s="41">
        <v>6.1399999999999996E-3</v>
      </c>
      <c r="S75" s="42">
        <v>15.35</v>
      </c>
      <c r="T75" s="42">
        <v>450</v>
      </c>
      <c r="U75" s="43">
        <v>0.69444444444444442</v>
      </c>
      <c r="V75" s="44">
        <v>46131</v>
      </c>
      <c r="W75" s="45">
        <v>46146</v>
      </c>
      <c r="X75" s="46" t="s">
        <v>66</v>
      </c>
      <c r="Y75" s="44">
        <v>46161</v>
      </c>
      <c r="Z75" s="44">
        <v>46164</v>
      </c>
      <c r="AA75" s="46" t="s">
        <v>66</v>
      </c>
      <c r="AB75" s="47">
        <v>18</v>
      </c>
      <c r="AC75" s="1">
        <v>46171</v>
      </c>
      <c r="AD75" s="1">
        <v>46171</v>
      </c>
      <c r="AE75" s="3">
        <v>7</v>
      </c>
      <c r="AF75" s="3" t="s">
        <v>68</v>
      </c>
      <c r="AG75" s="3" t="s">
        <v>68</v>
      </c>
      <c r="AH75" s="3">
        <v>18.5</v>
      </c>
      <c r="AI75" s="3">
        <v>11.142857142857142</v>
      </c>
      <c r="AJ75"/>
      <c r="AK75" s="3" t="s">
        <v>69</v>
      </c>
      <c r="AL75" t="s">
        <v>70</v>
      </c>
      <c r="AM75"/>
      <c r="AN75" t="s">
        <v>72</v>
      </c>
      <c r="AO75" t="s">
        <v>62</v>
      </c>
      <c r="AP75" s="10"/>
      <c r="AQ75" s="1">
        <v>46114</v>
      </c>
      <c r="AR75" s="48" t="e">
        <v>#N/A</v>
      </c>
      <c r="AS75">
        <v>5576</v>
      </c>
      <c r="AT75">
        <v>100</v>
      </c>
      <c r="AU75" t="s">
        <v>725</v>
      </c>
      <c r="AV75">
        <v>7.02</v>
      </c>
      <c r="AW75">
        <v>10.06</v>
      </c>
      <c r="AX75">
        <v>1000</v>
      </c>
      <c r="AY75">
        <v>36</v>
      </c>
      <c r="AZ75">
        <v>34</v>
      </c>
      <c r="BA75">
        <v>24.5</v>
      </c>
      <c r="BB75">
        <v>3</v>
      </c>
      <c r="BC75" s="3" t="s">
        <v>723</v>
      </c>
      <c r="BD75" t="s">
        <v>74</v>
      </c>
      <c r="BE75" t="s">
        <v>75</v>
      </c>
      <c r="BF75" s="49" t="e">
        <v>#N/A</v>
      </c>
      <c r="BG75" s="50" t="s">
        <v>75</v>
      </c>
      <c r="BH75" s="50" t="s">
        <v>75</v>
      </c>
      <c r="BI75" s="50" t="s">
        <v>75</v>
      </c>
    </row>
    <row r="76" spans="1:61" ht="15" x14ac:dyDescent="0.25">
      <c r="A76" s="1">
        <v>46086</v>
      </c>
      <c r="B76" t="s">
        <v>732</v>
      </c>
      <c r="C76" t="s">
        <v>733</v>
      </c>
      <c r="D76">
        <v>132291</v>
      </c>
      <c r="E76" t="s">
        <v>734</v>
      </c>
      <c r="F76" t="s">
        <v>62</v>
      </c>
      <c r="G76" s="39"/>
      <c r="H76" s="10" t="s">
        <v>571</v>
      </c>
      <c r="I76" t="s">
        <v>735</v>
      </c>
      <c r="J76">
        <v>1500</v>
      </c>
      <c r="K76" s="4">
        <v>46153</v>
      </c>
      <c r="L76" s="40">
        <v>0</v>
      </c>
      <c r="M76" s="40">
        <v>1500</v>
      </c>
      <c r="N76" s="5">
        <v>1.5529999999999999</v>
      </c>
      <c r="O76">
        <v>2329.5</v>
      </c>
      <c r="P76" t="s">
        <v>65</v>
      </c>
      <c r="Q76" s="6"/>
      <c r="R76" s="41">
        <v>1.039E-2</v>
      </c>
      <c r="S76" s="42">
        <v>15.584999999999999</v>
      </c>
      <c r="T76" s="42">
        <v>1000</v>
      </c>
      <c r="U76" s="43">
        <v>0.1875</v>
      </c>
      <c r="V76" s="44">
        <v>46131</v>
      </c>
      <c r="W76" s="45">
        <v>46146</v>
      </c>
      <c r="X76" s="46" t="s">
        <v>66</v>
      </c>
      <c r="Y76" s="44">
        <v>46161</v>
      </c>
      <c r="Z76" s="44">
        <v>46164</v>
      </c>
      <c r="AA76" s="46" t="s">
        <v>66</v>
      </c>
      <c r="AB76" s="47">
        <v>18</v>
      </c>
      <c r="AC76" s="1">
        <v>46171</v>
      </c>
      <c r="AD76" s="1">
        <v>46171</v>
      </c>
      <c r="AE76" s="3">
        <v>7</v>
      </c>
      <c r="AF76" s="3" t="s">
        <v>68</v>
      </c>
      <c r="AG76" s="3" t="s">
        <v>68</v>
      </c>
      <c r="AH76" s="3">
        <v>18.5</v>
      </c>
      <c r="AI76" s="3">
        <v>11.142857142857142</v>
      </c>
      <c r="AJ76"/>
      <c r="AK76" s="3" t="s">
        <v>69</v>
      </c>
      <c r="AL76" t="s">
        <v>70</v>
      </c>
      <c r="AM76"/>
      <c r="AN76" t="s">
        <v>72</v>
      </c>
      <c r="AO76" t="s">
        <v>62</v>
      </c>
      <c r="AP76" s="10"/>
      <c r="AQ76" s="1">
        <v>46114</v>
      </c>
      <c r="AR76" s="48" t="e">
        <v>#N/A</v>
      </c>
      <c r="AS76">
        <v>5574</v>
      </c>
      <c r="AT76">
        <v>100</v>
      </c>
      <c r="AU76" t="s">
        <v>736</v>
      </c>
      <c r="AV76">
        <v>3.2120000000000002</v>
      </c>
      <c r="AW76">
        <v>4.7300000000000004</v>
      </c>
      <c r="AX76">
        <v>800</v>
      </c>
      <c r="AY76">
        <v>38</v>
      </c>
      <c r="AZ76">
        <v>29.5</v>
      </c>
      <c r="BA76">
        <v>19.5</v>
      </c>
      <c r="BB76">
        <v>2</v>
      </c>
      <c r="BC76" s="3" t="s">
        <v>734</v>
      </c>
      <c r="BD76" t="s">
        <v>74</v>
      </c>
      <c r="BE76" t="s">
        <v>75</v>
      </c>
      <c r="BF76" s="49" t="e">
        <v>#N/A</v>
      </c>
      <c r="BG76" s="50" t="s">
        <v>75</v>
      </c>
      <c r="BH76" s="50" t="s">
        <v>75</v>
      </c>
      <c r="BI76" s="50" t="s">
        <v>75</v>
      </c>
    </row>
    <row r="77" spans="1:61" ht="15" x14ac:dyDescent="0.25">
      <c r="A77" s="1">
        <v>46086</v>
      </c>
      <c r="B77" t="s">
        <v>737</v>
      </c>
      <c r="C77" t="s">
        <v>738</v>
      </c>
      <c r="D77" t="s">
        <v>739</v>
      </c>
      <c r="E77" t="s">
        <v>740</v>
      </c>
      <c r="F77" t="s">
        <v>62</v>
      </c>
      <c r="G77" s="39"/>
      <c r="H77" s="10" t="s">
        <v>571</v>
      </c>
      <c r="I77" t="s">
        <v>741</v>
      </c>
      <c r="J77">
        <v>1000</v>
      </c>
      <c r="K77" s="4">
        <v>46153</v>
      </c>
      <c r="L77" s="40">
        <v>0</v>
      </c>
      <c r="M77" s="40">
        <v>1000</v>
      </c>
      <c r="N77" s="5">
        <v>0.80200000000000005</v>
      </c>
      <c r="O77">
        <v>802</v>
      </c>
      <c r="P77" t="s">
        <v>65</v>
      </c>
      <c r="Q77" s="6"/>
      <c r="R77" s="41">
        <v>1.7479999999999999E-2</v>
      </c>
      <c r="S77" s="42">
        <v>17.48</v>
      </c>
      <c r="T77" s="42">
        <v>500</v>
      </c>
      <c r="U77" s="43">
        <v>0.25</v>
      </c>
      <c r="V77" s="44">
        <v>46131</v>
      </c>
      <c r="W77" s="45">
        <v>46146</v>
      </c>
      <c r="X77" s="46" t="s">
        <v>66</v>
      </c>
      <c r="Y77" s="44">
        <v>46161</v>
      </c>
      <c r="Z77" s="44">
        <v>46164</v>
      </c>
      <c r="AA77" s="46" t="s">
        <v>66</v>
      </c>
      <c r="AB77" s="47">
        <v>18</v>
      </c>
      <c r="AC77" s="1">
        <v>46171</v>
      </c>
      <c r="AD77" s="1">
        <v>46171</v>
      </c>
      <c r="AE77" s="3">
        <v>7</v>
      </c>
      <c r="AF77" s="3" t="s">
        <v>68</v>
      </c>
      <c r="AG77" s="3" t="s">
        <v>68</v>
      </c>
      <c r="AH77" s="3">
        <v>18.5</v>
      </c>
      <c r="AI77" s="3">
        <v>11.142857142857142</v>
      </c>
      <c r="AJ77"/>
      <c r="AK77" s="3" t="s">
        <v>69</v>
      </c>
      <c r="AL77" t="s">
        <v>70</v>
      </c>
      <c r="AM77"/>
      <c r="AN77" t="s">
        <v>72</v>
      </c>
      <c r="AO77" t="s">
        <v>62</v>
      </c>
      <c r="AP77" s="10"/>
      <c r="AQ77" s="1">
        <v>46114</v>
      </c>
      <c r="AR77" s="48" t="e">
        <v>#N/A</v>
      </c>
      <c r="AS77">
        <v>5568</v>
      </c>
      <c r="AT77">
        <v>100</v>
      </c>
      <c r="AU77" t="s">
        <v>742</v>
      </c>
      <c r="AV77">
        <v>9.3249999999999993</v>
      </c>
      <c r="AW77">
        <v>9.51</v>
      </c>
      <c r="AX77">
        <v>800</v>
      </c>
      <c r="AY77">
        <v>38</v>
      </c>
      <c r="AZ77">
        <v>29.5</v>
      </c>
      <c r="BA77">
        <v>19.5</v>
      </c>
      <c r="BB77">
        <v>2</v>
      </c>
      <c r="BC77" s="3" t="s">
        <v>740</v>
      </c>
      <c r="BD77" t="s">
        <v>74</v>
      </c>
      <c r="BE77" t="s">
        <v>75</v>
      </c>
      <c r="BF77" s="49" t="e">
        <v>#N/A</v>
      </c>
      <c r="BG77" s="50" t="s">
        <v>75</v>
      </c>
      <c r="BH77" s="50" t="s">
        <v>75</v>
      </c>
      <c r="BI77" s="50" t="s">
        <v>75</v>
      </c>
    </row>
    <row r="78" spans="1:61" ht="15" x14ac:dyDescent="0.25">
      <c r="A78" s="1">
        <v>46087</v>
      </c>
      <c r="B78" t="s">
        <v>743</v>
      </c>
      <c r="C78" t="s">
        <v>744</v>
      </c>
      <c r="D78">
        <v>202114</v>
      </c>
      <c r="E78" t="s">
        <v>745</v>
      </c>
      <c r="F78" t="s">
        <v>62</v>
      </c>
      <c r="G78" s="39"/>
      <c r="H78" s="10" t="s">
        <v>551</v>
      </c>
      <c r="I78" t="s">
        <v>746</v>
      </c>
      <c r="J78">
        <v>2000</v>
      </c>
      <c r="K78" s="4" t="s">
        <v>64</v>
      </c>
      <c r="L78" s="40">
        <v>0</v>
      </c>
      <c r="M78" s="40">
        <v>2000</v>
      </c>
      <c r="N78">
        <v>0.71599999999999997</v>
      </c>
      <c r="O78">
        <v>1432</v>
      </c>
      <c r="P78" t="s">
        <v>65</v>
      </c>
      <c r="Q78" s="6"/>
      <c r="R78" s="41">
        <v>9.3699999999999999E-3</v>
      </c>
      <c r="S78" s="42">
        <v>18.739999999999998</v>
      </c>
      <c r="T78" s="42">
        <v>500</v>
      </c>
      <c r="U78" s="43">
        <v>0.5</v>
      </c>
      <c r="V78" s="44">
        <v>46126</v>
      </c>
      <c r="W78" s="45">
        <v>46141</v>
      </c>
      <c r="X78" s="46" t="s">
        <v>66</v>
      </c>
      <c r="Y78" s="44">
        <v>46161</v>
      </c>
      <c r="Z78" s="44">
        <v>46164</v>
      </c>
      <c r="AA78" s="46" t="s">
        <v>66</v>
      </c>
      <c r="AB78" s="47">
        <v>23</v>
      </c>
      <c r="AC78" s="1">
        <v>46130</v>
      </c>
      <c r="AD78" s="1">
        <v>46157</v>
      </c>
      <c r="AE78" s="3">
        <v>-7</v>
      </c>
      <c r="AF78" s="3" t="s">
        <v>69</v>
      </c>
      <c r="AG78" s="3" t="s">
        <v>69</v>
      </c>
      <c r="AH78" s="3">
        <v>17.5</v>
      </c>
      <c r="AI78" s="3">
        <v>11</v>
      </c>
      <c r="AJ78"/>
      <c r="AK78" s="3" t="s">
        <v>69</v>
      </c>
      <c r="AL78" t="s">
        <v>80</v>
      </c>
      <c r="AM78"/>
      <c r="AN78" t="s">
        <v>72</v>
      </c>
      <c r="AO78" t="s">
        <v>62</v>
      </c>
      <c r="AP78" s="10"/>
      <c r="AQ78" s="1">
        <v>46025</v>
      </c>
      <c r="AR78" s="48" t="e">
        <v>#N/A</v>
      </c>
      <c r="AS78">
        <v>5617</v>
      </c>
      <c r="AT78">
        <v>100</v>
      </c>
      <c r="AU78" t="s">
        <v>747</v>
      </c>
      <c r="AV78">
        <v>8.4619999999999997</v>
      </c>
      <c r="AW78">
        <v>8.74</v>
      </c>
      <c r="AX78">
        <v>800</v>
      </c>
      <c r="AY78">
        <v>38</v>
      </c>
      <c r="AZ78">
        <v>29.5</v>
      </c>
      <c r="BA78">
        <v>19.5</v>
      </c>
      <c r="BB78">
        <v>1</v>
      </c>
      <c r="BC78" s="3" t="s">
        <v>748</v>
      </c>
      <c r="BD78" t="s">
        <v>74</v>
      </c>
      <c r="BE78" t="s">
        <v>75</v>
      </c>
      <c r="BF78" s="49" t="e">
        <v>#N/A</v>
      </c>
      <c r="BG78" s="50" t="s">
        <v>75</v>
      </c>
      <c r="BH78" s="50" t="s">
        <v>75</v>
      </c>
      <c r="BI78" s="50" t="s">
        <v>75</v>
      </c>
    </row>
    <row r="79" spans="1:61" ht="15" x14ac:dyDescent="0.25">
      <c r="A79" s="1">
        <v>46087</v>
      </c>
      <c r="B79" t="s">
        <v>761</v>
      </c>
      <c r="C79" t="s">
        <v>762</v>
      </c>
      <c r="D79">
        <v>132231</v>
      </c>
      <c r="E79" t="s">
        <v>763</v>
      </c>
      <c r="F79" t="s">
        <v>62</v>
      </c>
      <c r="G79" s="39"/>
      <c r="H79" s="10" t="s">
        <v>551</v>
      </c>
      <c r="I79" t="s">
        <v>764</v>
      </c>
      <c r="J79">
        <v>2000</v>
      </c>
      <c r="K79" s="4" t="s">
        <v>64</v>
      </c>
      <c r="L79" s="40">
        <v>0</v>
      </c>
      <c r="M79" s="40">
        <v>2000</v>
      </c>
      <c r="N79">
        <v>1.1319999999999999</v>
      </c>
      <c r="O79">
        <v>2264</v>
      </c>
      <c r="P79" t="s">
        <v>65</v>
      </c>
      <c r="Q79" s="6"/>
      <c r="R79" s="41">
        <v>1.157E-2</v>
      </c>
      <c r="S79" s="42">
        <v>23.14</v>
      </c>
      <c r="T79" s="42">
        <v>500</v>
      </c>
      <c r="U79" s="43">
        <v>0.5</v>
      </c>
      <c r="V79" s="44">
        <v>46126</v>
      </c>
      <c r="W79" s="45">
        <v>46141</v>
      </c>
      <c r="X79" s="46" t="s">
        <v>66</v>
      </c>
      <c r="Y79" s="44">
        <v>46161</v>
      </c>
      <c r="Z79" s="44">
        <v>46164</v>
      </c>
      <c r="AA79" s="46" t="s">
        <v>66</v>
      </c>
      <c r="AB79" s="47">
        <v>23</v>
      </c>
      <c r="AC79" s="1">
        <v>46130</v>
      </c>
      <c r="AD79" s="1">
        <v>46157</v>
      </c>
      <c r="AE79" s="3">
        <v>-7</v>
      </c>
      <c r="AF79" s="3" t="s">
        <v>69</v>
      </c>
      <c r="AG79" s="3" t="s">
        <v>69</v>
      </c>
      <c r="AH79" s="3">
        <v>17.5</v>
      </c>
      <c r="AI79" s="3">
        <v>11</v>
      </c>
      <c r="AJ79"/>
      <c r="AK79" s="3" t="s">
        <v>69</v>
      </c>
      <c r="AL79" t="s">
        <v>80</v>
      </c>
      <c r="AM79"/>
      <c r="AN79" t="s">
        <v>72</v>
      </c>
      <c r="AO79" t="s">
        <v>62</v>
      </c>
      <c r="AP79" s="10"/>
      <c r="AQ79" s="1">
        <v>46037</v>
      </c>
      <c r="AR79" s="48" t="e">
        <v>#N/A</v>
      </c>
      <c r="AS79">
        <v>5605</v>
      </c>
      <c r="AT79">
        <v>100</v>
      </c>
      <c r="AU79" t="s">
        <v>765</v>
      </c>
      <c r="AV79">
        <v>4.54</v>
      </c>
      <c r="AW79">
        <v>6.95</v>
      </c>
      <c r="AX79">
        <v>1000</v>
      </c>
      <c r="AY79">
        <v>36</v>
      </c>
      <c r="AZ79">
        <v>34</v>
      </c>
      <c r="BA79">
        <v>24.5</v>
      </c>
      <c r="BB79">
        <v>1</v>
      </c>
      <c r="BC79" s="3" t="s">
        <v>766</v>
      </c>
      <c r="BD79" t="s">
        <v>74</v>
      </c>
      <c r="BE79" t="s">
        <v>75</v>
      </c>
      <c r="BF79" s="49" t="e">
        <v>#N/A</v>
      </c>
      <c r="BG79" s="50" t="s">
        <v>75</v>
      </c>
      <c r="BH79" s="50" t="s">
        <v>75</v>
      </c>
      <c r="BI79" s="50" t="s">
        <v>75</v>
      </c>
    </row>
    <row r="80" spans="1:61" ht="15" x14ac:dyDescent="0.25">
      <c r="A80" s="1">
        <v>46087</v>
      </c>
      <c r="B80" t="s">
        <v>767</v>
      </c>
      <c r="C80" t="s">
        <v>768</v>
      </c>
      <c r="D80" t="s">
        <v>769</v>
      </c>
      <c r="E80" t="s">
        <v>770</v>
      </c>
      <c r="F80" t="s">
        <v>62</v>
      </c>
      <c r="G80" s="39"/>
      <c r="H80" s="10" t="s">
        <v>551</v>
      </c>
      <c r="I80" t="s">
        <v>771</v>
      </c>
      <c r="J80">
        <v>4000</v>
      </c>
      <c r="K80" s="4" t="s">
        <v>64</v>
      </c>
      <c r="L80" s="40">
        <v>0</v>
      </c>
      <c r="M80" s="40">
        <v>4000</v>
      </c>
      <c r="N80">
        <v>1.1890000000000001</v>
      </c>
      <c r="O80">
        <v>4756</v>
      </c>
      <c r="P80" t="s">
        <v>65</v>
      </c>
      <c r="Q80" s="6" t="e">
        <v>#REF!</v>
      </c>
      <c r="R80" s="41">
        <v>7.5500000000000003E-3</v>
      </c>
      <c r="S80" s="42">
        <v>30.200000000000003</v>
      </c>
      <c r="T80" s="42">
        <v>400</v>
      </c>
      <c r="U80" s="43">
        <v>1.25</v>
      </c>
      <c r="V80" s="44">
        <v>46126</v>
      </c>
      <c r="W80" s="45">
        <v>46141</v>
      </c>
      <c r="X80" s="46" t="s">
        <v>66</v>
      </c>
      <c r="Y80" s="44">
        <v>46161</v>
      </c>
      <c r="Z80" s="44">
        <v>46164</v>
      </c>
      <c r="AA80" s="46" t="s">
        <v>66</v>
      </c>
      <c r="AB80" s="47">
        <v>23</v>
      </c>
      <c r="AC80" s="1">
        <v>46171</v>
      </c>
      <c r="AD80" s="1">
        <v>46171</v>
      </c>
      <c r="AE80" s="3">
        <v>7</v>
      </c>
      <c r="AF80" s="3" t="s">
        <v>68</v>
      </c>
      <c r="AG80" s="3" t="s">
        <v>68</v>
      </c>
      <c r="AH80" s="3">
        <v>17.5</v>
      </c>
      <c r="AI80" s="3">
        <v>11</v>
      </c>
      <c r="AJ80"/>
      <c r="AK80" s="3" t="s">
        <v>69</v>
      </c>
      <c r="AL80" t="s">
        <v>70</v>
      </c>
      <c r="AM80"/>
      <c r="AN80" t="s">
        <v>72</v>
      </c>
      <c r="AO80" t="s">
        <v>62</v>
      </c>
      <c r="AP80" s="10"/>
      <c r="AQ80" s="1">
        <v>46039</v>
      </c>
      <c r="AR80" s="48" t="e">
        <v>#N/A</v>
      </c>
      <c r="AS80">
        <v>5603</v>
      </c>
      <c r="AT80">
        <v>100</v>
      </c>
      <c r="AU80" t="s">
        <v>772</v>
      </c>
      <c r="AV80">
        <v>4.0199999999999996</v>
      </c>
      <c r="AW80">
        <v>6.26</v>
      </c>
      <c r="AX80">
        <v>1000</v>
      </c>
      <c r="AY80">
        <v>38</v>
      </c>
      <c r="AZ80">
        <v>29.5</v>
      </c>
      <c r="BA80">
        <v>19.5</v>
      </c>
      <c r="BB80">
        <v>1</v>
      </c>
      <c r="BC80" s="3" t="s">
        <v>773</v>
      </c>
      <c r="BD80" t="s">
        <v>74</v>
      </c>
      <c r="BE80" t="s">
        <v>75</v>
      </c>
      <c r="BF80" s="49" t="e">
        <v>#N/A</v>
      </c>
      <c r="BG80" s="50" t="s">
        <v>75</v>
      </c>
      <c r="BH80" s="50" t="s">
        <v>75</v>
      </c>
      <c r="BI80" s="50" t="s">
        <v>75</v>
      </c>
    </row>
    <row r="81" spans="1:61" ht="15" x14ac:dyDescent="0.25">
      <c r="A81" s="1">
        <v>46087</v>
      </c>
      <c r="B81" t="s">
        <v>774</v>
      </c>
      <c r="C81" t="s">
        <v>775</v>
      </c>
      <c r="D81">
        <v>132225</v>
      </c>
      <c r="E81" t="s">
        <v>776</v>
      </c>
      <c r="F81" t="s">
        <v>62</v>
      </c>
      <c r="G81" s="39"/>
      <c r="H81" s="10" t="s">
        <v>571</v>
      </c>
      <c r="I81" t="s">
        <v>777</v>
      </c>
      <c r="J81">
        <v>2000</v>
      </c>
      <c r="K81" s="4">
        <v>46153</v>
      </c>
      <c r="L81" s="40">
        <v>0</v>
      </c>
      <c r="M81" s="40">
        <v>2000</v>
      </c>
      <c r="N81">
        <v>0.85599999999999998</v>
      </c>
      <c r="O81">
        <v>1712</v>
      </c>
      <c r="P81" t="s">
        <v>65</v>
      </c>
      <c r="Q81" s="6"/>
      <c r="R81" s="41">
        <v>1.111E-2</v>
      </c>
      <c r="S81" s="42">
        <v>22.22</v>
      </c>
      <c r="T81" s="42">
        <v>400</v>
      </c>
      <c r="U81" s="43">
        <v>0.625</v>
      </c>
      <c r="V81" s="44">
        <v>46133</v>
      </c>
      <c r="W81" s="45">
        <v>46148</v>
      </c>
      <c r="X81" s="46" t="s">
        <v>66</v>
      </c>
      <c r="Y81" s="44">
        <v>46161</v>
      </c>
      <c r="Z81" s="44">
        <v>46164</v>
      </c>
      <c r="AA81" s="46" t="s">
        <v>66</v>
      </c>
      <c r="AB81" s="47">
        <v>16</v>
      </c>
      <c r="AC81" s="1">
        <v>46164</v>
      </c>
      <c r="AD81" s="1">
        <v>46164</v>
      </c>
      <c r="AE81" s="3">
        <v>0</v>
      </c>
      <c r="AF81" s="3" t="s">
        <v>68</v>
      </c>
      <c r="AG81" s="3" t="s">
        <v>68</v>
      </c>
      <c r="AH81" s="3">
        <v>17.5</v>
      </c>
      <c r="AI81" s="3">
        <v>11</v>
      </c>
      <c r="AJ81"/>
      <c r="AK81" s="3" t="s">
        <v>69</v>
      </c>
      <c r="AL81" t="s">
        <v>70</v>
      </c>
      <c r="AM81" t="s">
        <v>71</v>
      </c>
      <c r="AN81" t="s">
        <v>72</v>
      </c>
      <c r="AO81" t="s">
        <v>62</v>
      </c>
      <c r="AP81" s="10"/>
      <c r="AQ81" s="1">
        <v>46049</v>
      </c>
      <c r="AR81" s="48" t="e">
        <v>#N/A</v>
      </c>
      <c r="AS81">
        <v>5593</v>
      </c>
      <c r="AT81">
        <v>100</v>
      </c>
      <c r="AU81" t="s">
        <v>778</v>
      </c>
      <c r="AV81">
        <v>2.54</v>
      </c>
      <c r="AW81">
        <v>5.6155999999999997</v>
      </c>
      <c r="AX81">
        <v>1000</v>
      </c>
      <c r="AY81">
        <v>36</v>
      </c>
      <c r="AZ81">
        <v>34</v>
      </c>
      <c r="BA81">
        <v>24.5</v>
      </c>
      <c r="BB81">
        <v>1</v>
      </c>
      <c r="BC81" s="3" t="s">
        <v>779</v>
      </c>
      <c r="BD81" t="s">
        <v>74</v>
      </c>
      <c r="BE81" t="s">
        <v>75</v>
      </c>
      <c r="BF81" s="49" t="e">
        <v>#N/A</v>
      </c>
      <c r="BG81" s="50" t="s">
        <v>75</v>
      </c>
      <c r="BH81" s="50" t="s">
        <v>75</v>
      </c>
      <c r="BI81" s="50" t="s">
        <v>75</v>
      </c>
    </row>
    <row r="82" spans="1:61" ht="15" x14ac:dyDescent="0.25">
      <c r="A82" s="1">
        <v>46090</v>
      </c>
      <c r="B82" t="s">
        <v>599</v>
      </c>
      <c r="C82" t="s">
        <v>600</v>
      </c>
      <c r="D82" t="s">
        <v>601</v>
      </c>
      <c r="E82" t="s">
        <v>780</v>
      </c>
      <c r="F82" t="s">
        <v>62</v>
      </c>
      <c r="G82" s="39"/>
      <c r="H82" s="10" t="s">
        <v>571</v>
      </c>
      <c r="I82" t="s">
        <v>781</v>
      </c>
      <c r="J82">
        <v>1000</v>
      </c>
      <c r="K82" s="4">
        <v>46153</v>
      </c>
      <c r="L82" s="40">
        <v>0</v>
      </c>
      <c r="M82" s="40">
        <v>1000</v>
      </c>
      <c r="N82">
        <v>1.2589999999999999</v>
      </c>
      <c r="O82">
        <v>1259</v>
      </c>
      <c r="P82" t="s">
        <v>65</v>
      </c>
      <c r="Q82" s="6"/>
      <c r="R82" s="41">
        <v>9.1999999999999998E-3</v>
      </c>
      <c r="S82" s="42">
        <v>9.1999999999999993</v>
      </c>
      <c r="T82" s="42">
        <v>500</v>
      </c>
      <c r="U82" s="43">
        <v>0.25</v>
      </c>
      <c r="V82" s="44">
        <v>46133</v>
      </c>
      <c r="W82" s="45">
        <v>46148</v>
      </c>
      <c r="X82" s="46" t="s">
        <v>66</v>
      </c>
      <c r="Y82" s="44">
        <v>46161</v>
      </c>
      <c r="Z82" s="44">
        <v>46164</v>
      </c>
      <c r="AA82" s="46" t="s">
        <v>66</v>
      </c>
      <c r="AB82" s="47">
        <v>16</v>
      </c>
      <c r="AC82" s="1">
        <v>46130</v>
      </c>
      <c r="AD82" s="1">
        <v>46164</v>
      </c>
      <c r="AE82" s="3">
        <v>0</v>
      </c>
      <c r="AF82" s="3" t="s">
        <v>68</v>
      </c>
      <c r="AG82" s="3" t="s">
        <v>69</v>
      </c>
      <c r="AH82" s="3">
        <v>14.5</v>
      </c>
      <c r="AI82" s="3">
        <v>10.571428571428571</v>
      </c>
      <c r="AJ82"/>
      <c r="AK82" s="3" t="s">
        <v>69</v>
      </c>
      <c r="AL82" t="s">
        <v>80</v>
      </c>
      <c r="AM82"/>
      <c r="AN82" t="s">
        <v>72</v>
      </c>
      <c r="AO82" t="s">
        <v>62</v>
      </c>
      <c r="AP82" s="10"/>
      <c r="AQ82" s="1">
        <v>46042</v>
      </c>
      <c r="AR82" s="48" t="e">
        <v>#N/A</v>
      </c>
      <c r="AS82">
        <v>5653</v>
      </c>
      <c r="AT82">
        <v>100</v>
      </c>
      <c r="AU82" t="s">
        <v>782</v>
      </c>
      <c r="AV82">
        <v>9.3000000000000007</v>
      </c>
      <c r="AW82">
        <v>8.6300000000000008</v>
      </c>
      <c r="AX82">
        <v>800</v>
      </c>
      <c r="AY82">
        <v>38</v>
      </c>
      <c r="AZ82">
        <v>29.5</v>
      </c>
      <c r="BA82">
        <v>19.5</v>
      </c>
      <c r="BB82">
        <v>5</v>
      </c>
      <c r="BC82" s="3" t="s">
        <v>783</v>
      </c>
      <c r="BD82" t="s">
        <v>74</v>
      </c>
      <c r="BE82" t="s">
        <v>75</v>
      </c>
      <c r="BF82" s="49" t="e">
        <v>#N/A</v>
      </c>
      <c r="BG82" s="50" t="s">
        <v>75</v>
      </c>
      <c r="BH82" s="50" t="s">
        <v>75</v>
      </c>
      <c r="BI82" s="50" t="s">
        <v>75</v>
      </c>
    </row>
    <row r="83" spans="1:61" ht="15" x14ac:dyDescent="0.25">
      <c r="A83" s="1">
        <v>46090</v>
      </c>
      <c r="B83" t="s">
        <v>784</v>
      </c>
      <c r="C83" t="s">
        <v>785</v>
      </c>
      <c r="D83" t="s">
        <v>786</v>
      </c>
      <c r="E83" t="s">
        <v>787</v>
      </c>
      <c r="F83" t="s">
        <v>62</v>
      </c>
      <c r="G83" s="39"/>
      <c r="H83" s="10" t="s">
        <v>551</v>
      </c>
      <c r="I83" t="s">
        <v>788</v>
      </c>
      <c r="J83">
        <v>1500</v>
      </c>
      <c r="K83" s="4" t="s">
        <v>64</v>
      </c>
      <c r="L83" s="40">
        <v>0</v>
      </c>
      <c r="M83" s="40">
        <v>1500</v>
      </c>
      <c r="N83">
        <v>1.966</v>
      </c>
      <c r="O83">
        <v>2949</v>
      </c>
      <c r="P83" t="s">
        <v>65</v>
      </c>
      <c r="Q83" s="6"/>
      <c r="R83" s="41">
        <v>9.3699999999999999E-3</v>
      </c>
      <c r="S83" s="42">
        <v>14.055</v>
      </c>
      <c r="T83" s="42">
        <v>400</v>
      </c>
      <c r="U83" s="43">
        <v>0.46875</v>
      </c>
      <c r="V83" s="44">
        <v>46126</v>
      </c>
      <c r="W83" s="45">
        <v>46141</v>
      </c>
      <c r="X83" s="46" t="s">
        <v>66</v>
      </c>
      <c r="Y83" s="44">
        <v>46161</v>
      </c>
      <c r="Z83" s="44">
        <v>46164</v>
      </c>
      <c r="AA83" s="46" t="s">
        <v>66</v>
      </c>
      <c r="AB83" s="47">
        <v>23</v>
      </c>
      <c r="AC83" s="1">
        <v>46130</v>
      </c>
      <c r="AD83" s="1">
        <v>46164</v>
      </c>
      <c r="AE83" s="3">
        <v>0</v>
      </c>
      <c r="AF83" s="3" t="s">
        <v>68</v>
      </c>
      <c r="AG83" s="3" t="s">
        <v>69</v>
      </c>
      <c r="AH83" s="3">
        <v>14.5</v>
      </c>
      <c r="AI83" s="3">
        <v>10.571428571428571</v>
      </c>
      <c r="AJ83"/>
      <c r="AK83" s="3" t="s">
        <v>69</v>
      </c>
      <c r="AL83" t="s">
        <v>80</v>
      </c>
      <c r="AM83"/>
      <c r="AN83" t="s">
        <v>72</v>
      </c>
      <c r="AO83" t="s">
        <v>62</v>
      </c>
      <c r="AP83" s="10"/>
      <c r="AQ83" s="1">
        <v>46048</v>
      </c>
      <c r="AR83" s="48" t="e">
        <v>#N/A</v>
      </c>
      <c r="AS83">
        <v>5647</v>
      </c>
      <c r="AT83">
        <v>100</v>
      </c>
      <c r="AU83" t="s">
        <v>789</v>
      </c>
      <c r="AV83">
        <v>21.3</v>
      </c>
      <c r="AW83">
        <v>16.850000000000001</v>
      </c>
      <c r="AX83">
        <v>700</v>
      </c>
      <c r="AY83">
        <v>38</v>
      </c>
      <c r="AZ83">
        <v>29.5</v>
      </c>
      <c r="BA83">
        <v>19.5</v>
      </c>
      <c r="BB83">
        <v>11</v>
      </c>
      <c r="BC83" s="3" t="s">
        <v>790</v>
      </c>
      <c r="BD83" t="s">
        <v>74</v>
      </c>
      <c r="BE83" t="s">
        <v>75</v>
      </c>
      <c r="BF83" s="49" t="e">
        <v>#N/A</v>
      </c>
      <c r="BG83" s="50" t="s">
        <v>75</v>
      </c>
      <c r="BH83" s="50" t="s">
        <v>75</v>
      </c>
      <c r="BI83" s="50" t="s">
        <v>75</v>
      </c>
    </row>
    <row r="84" spans="1:61" ht="15" x14ac:dyDescent="0.25">
      <c r="A84" s="1">
        <v>46091</v>
      </c>
      <c r="B84" t="s">
        <v>809</v>
      </c>
      <c r="C84" t="s">
        <v>810</v>
      </c>
      <c r="D84" s="10">
        <v>132104</v>
      </c>
      <c r="E84" t="s">
        <v>811</v>
      </c>
      <c r="F84" t="s">
        <v>62</v>
      </c>
      <c r="G84" s="39"/>
      <c r="H84" s="10" t="s">
        <v>571</v>
      </c>
      <c r="I84" t="s">
        <v>812</v>
      </c>
      <c r="J84" s="54">
        <v>1000</v>
      </c>
      <c r="K84" s="4">
        <v>46153</v>
      </c>
      <c r="L84" s="40">
        <v>0</v>
      </c>
      <c r="M84" s="40">
        <v>1000</v>
      </c>
      <c r="N84" s="5">
        <v>0.69799999999999995</v>
      </c>
      <c r="O84">
        <v>698</v>
      </c>
      <c r="P84" t="s">
        <v>65</v>
      </c>
      <c r="Q84" s="6"/>
      <c r="R84" s="41">
        <v>4.0099999999999997E-3</v>
      </c>
      <c r="S84" s="42">
        <v>4.01</v>
      </c>
      <c r="T84" s="42">
        <v>450</v>
      </c>
      <c r="U84" s="43">
        <v>0.27777777777777779</v>
      </c>
      <c r="V84" s="44">
        <v>46131</v>
      </c>
      <c r="W84" s="45">
        <v>46146</v>
      </c>
      <c r="X84" s="46" t="s">
        <v>66</v>
      </c>
      <c r="Y84" s="44">
        <v>46161</v>
      </c>
      <c r="Z84" s="44">
        <v>46164</v>
      </c>
      <c r="AA84" s="46" t="s">
        <v>66</v>
      </c>
      <c r="AB84" s="47">
        <v>18</v>
      </c>
      <c r="AC84" s="1">
        <v>46155</v>
      </c>
      <c r="AD84" s="1">
        <v>46164</v>
      </c>
      <c r="AE84" s="3">
        <v>0</v>
      </c>
      <c r="AF84" s="3" t="s">
        <v>68</v>
      </c>
      <c r="AG84" s="3" t="s">
        <v>69</v>
      </c>
      <c r="AH84" s="3">
        <v>13.5</v>
      </c>
      <c r="AI84" s="3">
        <v>10.428571428571429</v>
      </c>
      <c r="AJ84"/>
      <c r="AK84" s="3" t="s">
        <v>69</v>
      </c>
      <c r="AL84" t="s">
        <v>80</v>
      </c>
      <c r="AM84"/>
      <c r="AN84" t="s">
        <v>72</v>
      </c>
      <c r="AO84" t="s">
        <v>62</v>
      </c>
      <c r="AP84" s="10"/>
      <c r="AQ84" s="1">
        <v>46080</v>
      </c>
      <c r="AR84" s="48" t="e">
        <v>#N/A</v>
      </c>
      <c r="AS84">
        <v>5723</v>
      </c>
      <c r="AT84">
        <v>100</v>
      </c>
      <c r="AU84" t="s">
        <v>813</v>
      </c>
      <c r="AV84">
        <v>1.56</v>
      </c>
      <c r="AW84">
        <v>3.72</v>
      </c>
      <c r="AX84">
        <v>1000</v>
      </c>
      <c r="AY84">
        <v>38</v>
      </c>
      <c r="AZ84">
        <v>29.5</v>
      </c>
      <c r="BA84">
        <v>19.5</v>
      </c>
      <c r="BB84">
        <v>1</v>
      </c>
      <c r="BC84" s="3" t="s">
        <v>811</v>
      </c>
      <c r="BD84" s="16" t="s">
        <v>74</v>
      </c>
      <c r="BE84" t="s">
        <v>75</v>
      </c>
      <c r="BF84" s="49" t="e">
        <v>#N/A</v>
      </c>
      <c r="BG84" s="50" t="s">
        <v>75</v>
      </c>
      <c r="BH84" s="50" t="s">
        <v>75</v>
      </c>
      <c r="BI84" s="50" t="s">
        <v>75</v>
      </c>
    </row>
    <row r="85" spans="1:61" ht="15" x14ac:dyDescent="0.25">
      <c r="A85" s="1">
        <v>46092</v>
      </c>
      <c r="B85" t="s">
        <v>907</v>
      </c>
      <c r="C85" s="10" t="s">
        <v>908</v>
      </c>
      <c r="D85" s="10" t="s">
        <v>909</v>
      </c>
      <c r="E85" t="s">
        <v>910</v>
      </c>
      <c r="F85" t="s">
        <v>62</v>
      </c>
      <c r="G85" s="39"/>
      <c r="H85" s="10" t="s">
        <v>571</v>
      </c>
      <c r="I85" t="s">
        <v>911</v>
      </c>
      <c r="J85" s="54">
        <v>150</v>
      </c>
      <c r="K85" s="4">
        <v>46153</v>
      </c>
      <c r="L85" s="40">
        <v>0</v>
      </c>
      <c r="M85" s="40">
        <v>150</v>
      </c>
      <c r="N85" s="5">
        <v>1.1839999999999999</v>
      </c>
      <c r="O85">
        <v>177.6</v>
      </c>
      <c r="P85" t="s">
        <v>65</v>
      </c>
      <c r="Q85" s="6"/>
      <c r="R85" s="41">
        <v>1.0149999999999999E-2</v>
      </c>
      <c r="S85" s="42">
        <v>1.5225</v>
      </c>
      <c r="T85" s="42">
        <v>500</v>
      </c>
      <c r="U85" s="43">
        <v>3.7499999999999999E-2</v>
      </c>
      <c r="V85" s="44">
        <v>46140</v>
      </c>
      <c r="W85" s="45">
        <v>46155</v>
      </c>
      <c r="X85" s="46" t="s">
        <v>66</v>
      </c>
      <c r="Y85" s="44">
        <v>46161</v>
      </c>
      <c r="Z85" s="44">
        <v>46164</v>
      </c>
      <c r="AA85" s="46" t="s">
        <v>66</v>
      </c>
      <c r="AB85" s="47">
        <v>9</v>
      </c>
      <c r="AC85" s="1">
        <v>46171</v>
      </c>
      <c r="AD85" s="1">
        <v>46171</v>
      </c>
      <c r="AE85" s="3">
        <v>7</v>
      </c>
      <c r="AF85" s="3" t="s">
        <v>68</v>
      </c>
      <c r="AG85" s="3" t="s">
        <v>68</v>
      </c>
      <c r="AH85" s="3">
        <v>12.5</v>
      </c>
      <c r="AI85" s="3">
        <v>10.285714285714286</v>
      </c>
      <c r="AJ85"/>
      <c r="AK85" s="3" t="s">
        <v>69</v>
      </c>
      <c r="AL85" t="s">
        <v>70</v>
      </c>
      <c r="AM85" t="s">
        <v>71</v>
      </c>
      <c r="AN85" t="s">
        <v>72</v>
      </c>
      <c r="AO85"/>
      <c r="AP85" s="10"/>
      <c r="AQ85" s="1">
        <v>46120</v>
      </c>
      <c r="AR85" s="48" t="e">
        <v>#N/A</v>
      </c>
      <c r="AS85">
        <v>5735</v>
      </c>
      <c r="AT85">
        <v>100</v>
      </c>
      <c r="AU85" t="s">
        <v>912</v>
      </c>
      <c r="AV85">
        <v>9.9</v>
      </c>
      <c r="AW85">
        <v>13.11</v>
      </c>
      <c r="AX85">
        <v>1200</v>
      </c>
      <c r="AY85">
        <v>36</v>
      </c>
      <c r="AZ85">
        <v>34</v>
      </c>
      <c r="BA85">
        <v>24.5</v>
      </c>
      <c r="BB85">
        <v>1</v>
      </c>
      <c r="BC85" s="3" t="s">
        <v>910</v>
      </c>
      <c r="BD85" s="16" t="s">
        <v>913</v>
      </c>
      <c r="BE85" t="s">
        <v>75</v>
      </c>
      <c r="BF85" s="49" t="e">
        <v>#N/A</v>
      </c>
      <c r="BG85" s="50" t="s">
        <v>75</v>
      </c>
      <c r="BH85" s="50" t="s">
        <v>75</v>
      </c>
      <c r="BI85" s="50" t="s">
        <v>75</v>
      </c>
    </row>
    <row r="86" spans="1:61" ht="15" x14ac:dyDescent="0.25">
      <c r="A86" s="1">
        <v>46093</v>
      </c>
      <c r="B86" t="s">
        <v>919</v>
      </c>
      <c r="C86" s="10" t="s">
        <v>920</v>
      </c>
      <c r="D86" s="10">
        <v>132116</v>
      </c>
      <c r="E86" t="s">
        <v>921</v>
      </c>
      <c r="F86" t="s">
        <v>62</v>
      </c>
      <c r="G86" s="39"/>
      <c r="H86" s="10" t="s">
        <v>571</v>
      </c>
      <c r="I86" t="s">
        <v>922</v>
      </c>
      <c r="J86">
        <v>2000</v>
      </c>
      <c r="K86" s="4">
        <v>46153</v>
      </c>
      <c r="L86" s="40">
        <v>0</v>
      </c>
      <c r="M86" s="40">
        <v>2000</v>
      </c>
      <c r="N86">
        <v>1.115</v>
      </c>
      <c r="O86">
        <v>2230</v>
      </c>
      <c r="P86" t="s">
        <v>65</v>
      </c>
      <c r="Q86" s="6"/>
      <c r="R86" s="41">
        <v>4.2500000000000003E-3</v>
      </c>
      <c r="S86" s="42">
        <v>8.5</v>
      </c>
      <c r="T86" s="42">
        <v>500</v>
      </c>
      <c r="U86" s="43">
        <v>0.5</v>
      </c>
      <c r="V86" s="44">
        <v>46126</v>
      </c>
      <c r="W86" s="45">
        <v>46141</v>
      </c>
      <c r="X86" s="46" t="s">
        <v>66</v>
      </c>
      <c r="Y86" s="44">
        <v>46161</v>
      </c>
      <c r="Z86" s="44">
        <v>46164</v>
      </c>
      <c r="AA86" s="46" t="s">
        <v>66</v>
      </c>
      <c r="AB86" s="47">
        <v>23</v>
      </c>
      <c r="AC86" s="1">
        <v>46137</v>
      </c>
      <c r="AD86" s="1">
        <v>46171</v>
      </c>
      <c r="AE86" s="3">
        <v>7</v>
      </c>
      <c r="AF86" s="3" t="s">
        <v>68</v>
      </c>
      <c r="AG86" s="3" t="s">
        <v>69</v>
      </c>
      <c r="AH86" s="3">
        <v>11.5</v>
      </c>
      <c r="AI86" s="3">
        <v>10.142857142857142</v>
      </c>
      <c r="AJ86"/>
      <c r="AK86" s="3" t="s">
        <v>69</v>
      </c>
      <c r="AL86" t="s">
        <v>80</v>
      </c>
      <c r="AM86"/>
      <c r="AN86" t="s">
        <v>72</v>
      </c>
      <c r="AO86"/>
      <c r="AP86" s="10"/>
      <c r="AQ86" s="1">
        <v>46121</v>
      </c>
      <c r="AR86" s="48" t="e">
        <v>#N/A</v>
      </c>
      <c r="AS86">
        <v>5799</v>
      </c>
      <c r="AT86">
        <v>100</v>
      </c>
      <c r="AU86" t="s">
        <v>923</v>
      </c>
      <c r="AV86">
        <v>4.4400000000000004</v>
      </c>
      <c r="AW86">
        <v>6.75</v>
      </c>
      <c r="AX86">
        <v>1000</v>
      </c>
      <c r="AY86">
        <v>38</v>
      </c>
      <c r="AZ86">
        <v>29.5</v>
      </c>
      <c r="BA86">
        <v>19.5</v>
      </c>
      <c r="BB86">
        <v>2</v>
      </c>
      <c r="BC86" s="3" t="s">
        <v>921</v>
      </c>
      <c r="BD86" t="s">
        <v>74</v>
      </c>
      <c r="BE86" t="s">
        <v>75</v>
      </c>
      <c r="BF86" s="49" t="e">
        <v>#N/A</v>
      </c>
      <c r="BG86" s="50" t="s">
        <v>75</v>
      </c>
      <c r="BH86" s="50" t="s">
        <v>75</v>
      </c>
      <c r="BI86" s="50" t="s">
        <v>75</v>
      </c>
    </row>
    <row r="87" spans="1:61" ht="15" x14ac:dyDescent="0.25">
      <c r="A87" s="1">
        <v>46098</v>
      </c>
      <c r="B87" t="s">
        <v>989</v>
      </c>
      <c r="C87" s="10" t="s">
        <v>990</v>
      </c>
      <c r="D87" s="10" t="s">
        <v>990</v>
      </c>
      <c r="E87" t="s">
        <v>984</v>
      </c>
      <c r="F87" t="s">
        <v>62</v>
      </c>
      <c r="G87" s="39"/>
      <c r="H87" s="10" t="s">
        <v>571</v>
      </c>
      <c r="I87" t="s">
        <v>991</v>
      </c>
      <c r="J87" s="54">
        <v>10</v>
      </c>
      <c r="K87" s="4">
        <v>46153</v>
      </c>
      <c r="L87" s="40">
        <v>0</v>
      </c>
      <c r="M87" s="40">
        <v>10</v>
      </c>
      <c r="N87" s="5">
        <v>0.94</v>
      </c>
      <c r="O87">
        <v>9.4</v>
      </c>
      <c r="P87" t="s">
        <v>986</v>
      </c>
      <c r="Q87" s="6"/>
      <c r="R87" s="41">
        <v>8.2500000000000004E-3</v>
      </c>
      <c r="S87" s="42">
        <v>8.2500000000000004E-2</v>
      </c>
      <c r="T87" s="42">
        <v>350</v>
      </c>
      <c r="U87" s="43">
        <v>3.5714285714285713E-3</v>
      </c>
      <c r="V87" s="44">
        <v>46140</v>
      </c>
      <c r="W87" s="45">
        <v>46155</v>
      </c>
      <c r="X87" s="46" t="s">
        <v>280</v>
      </c>
      <c r="Y87" s="44">
        <v>46161</v>
      </c>
      <c r="Z87" s="44">
        <v>46164</v>
      </c>
      <c r="AA87" s="46" t="s">
        <v>66</v>
      </c>
      <c r="AB87" s="47">
        <v>9</v>
      </c>
      <c r="AC87" s="1">
        <v>46192</v>
      </c>
      <c r="AD87" s="1">
        <v>46192</v>
      </c>
      <c r="AE87" s="3">
        <v>28</v>
      </c>
      <c r="AF87" s="3" t="s">
        <v>68</v>
      </c>
      <c r="AG87" s="3" t="s">
        <v>68</v>
      </c>
      <c r="AH87" s="3">
        <v>6.5</v>
      </c>
      <c r="AI87" s="3">
        <v>9.4285714285714288</v>
      </c>
      <c r="AJ87"/>
      <c r="AK87" s="3" t="s">
        <v>69</v>
      </c>
      <c r="AL87" t="s">
        <v>70</v>
      </c>
      <c r="AM87"/>
      <c r="AN87" t="s">
        <v>72</v>
      </c>
      <c r="AO87"/>
      <c r="AP87" s="10"/>
      <c r="AQ87" s="1">
        <v>46126</v>
      </c>
      <c r="AR87" s="48" t="e">
        <v>#N/A</v>
      </c>
      <c r="AS87">
        <v>5838</v>
      </c>
      <c r="AT87">
        <v>200</v>
      </c>
      <c r="AU87" t="s">
        <v>992</v>
      </c>
      <c r="AV87">
        <v>0.16</v>
      </c>
      <c r="AW87">
        <v>2.37</v>
      </c>
      <c r="AX87">
        <v>1000</v>
      </c>
      <c r="AY87">
        <v>38</v>
      </c>
      <c r="AZ87">
        <v>29.5</v>
      </c>
      <c r="BA87">
        <v>19.5</v>
      </c>
      <c r="BB87">
        <v>1</v>
      </c>
      <c r="BC87" s="3" t="s">
        <v>984</v>
      </c>
      <c r="BD87" s="16" t="s">
        <v>74</v>
      </c>
      <c r="BE87" t="s">
        <v>75</v>
      </c>
      <c r="BF87" s="49" t="e">
        <v>#N/A</v>
      </c>
      <c r="BG87" s="50" t="s">
        <v>75</v>
      </c>
      <c r="BH87" s="50" t="s">
        <v>75</v>
      </c>
      <c r="BI87" s="50" t="s">
        <v>75</v>
      </c>
    </row>
    <row r="88" spans="1:61" ht="15" x14ac:dyDescent="0.25">
      <c r="A88" s="86">
        <v>46039</v>
      </c>
      <c r="B88" t="s">
        <v>993</v>
      </c>
      <c r="C88" s="10" t="s">
        <v>994</v>
      </c>
      <c r="D88" s="10">
        <v>132168</v>
      </c>
      <c r="E88" t="s">
        <v>995</v>
      </c>
      <c r="F88" t="s">
        <v>62</v>
      </c>
      <c r="G88" s="39"/>
      <c r="H88" s="10" t="s">
        <v>571</v>
      </c>
      <c r="I88" t="s">
        <v>996</v>
      </c>
      <c r="J88" s="54">
        <v>215</v>
      </c>
      <c r="K88" s="4">
        <v>46153</v>
      </c>
      <c r="L88">
        <v>0</v>
      </c>
      <c r="M88" s="40">
        <v>215</v>
      </c>
      <c r="N88" s="5">
        <v>2.089</v>
      </c>
      <c r="O88">
        <v>449.14</v>
      </c>
      <c r="P88" t="s">
        <v>14</v>
      </c>
      <c r="Q88" s="6"/>
      <c r="R88" s="41">
        <v>1.196E-2</v>
      </c>
      <c r="S88" s="42">
        <v>2.5714000000000001</v>
      </c>
      <c r="T88" s="42">
        <v>500</v>
      </c>
      <c r="U88" s="43">
        <v>5.3749999999999999E-2</v>
      </c>
      <c r="V88" s="44">
        <v>46203</v>
      </c>
      <c r="W88" s="45">
        <v>46218</v>
      </c>
      <c r="X88" s="46" t="s">
        <v>66</v>
      </c>
      <c r="Y88" s="44">
        <v>46161</v>
      </c>
      <c r="Z88" s="44">
        <v>46164</v>
      </c>
      <c r="AA88" s="46" t="s">
        <v>66</v>
      </c>
      <c r="AB88" s="47">
        <v>-54</v>
      </c>
      <c r="AC88" s="1">
        <v>46129</v>
      </c>
      <c r="AD88" s="1">
        <v>46129</v>
      </c>
      <c r="AE88" s="3">
        <v>-35</v>
      </c>
      <c r="AF88" s="3" t="s">
        <v>69</v>
      </c>
      <c r="AG88" s="3" t="s">
        <v>69</v>
      </c>
      <c r="AH88" s="3">
        <v>65.5</v>
      </c>
      <c r="AI88" s="3">
        <v>17.857142857142858</v>
      </c>
      <c r="AJ88"/>
      <c r="AK88" t="s">
        <v>69</v>
      </c>
      <c r="AL88" t="s">
        <v>70</v>
      </c>
      <c r="AM88"/>
      <c r="AN88" t="s">
        <v>72</v>
      </c>
      <c r="AO88" t="s">
        <v>62</v>
      </c>
      <c r="AP88" s="52" t="s">
        <v>455</v>
      </c>
      <c r="AQ88" s="10">
        <v>46067</v>
      </c>
      <c r="AR88" s="15" t="e">
        <v>#N/A</v>
      </c>
      <c r="AS88">
        <v>4965</v>
      </c>
      <c r="AT88">
        <v>100</v>
      </c>
      <c r="AU88" t="s">
        <v>997</v>
      </c>
      <c r="AV88">
        <v>5.24</v>
      </c>
      <c r="AW88">
        <v>7.5</v>
      </c>
      <c r="AX88">
        <v>1000</v>
      </c>
      <c r="AY88">
        <v>38</v>
      </c>
      <c r="AZ88">
        <v>29.5</v>
      </c>
      <c r="BA88">
        <v>19.5</v>
      </c>
      <c r="BB88">
        <v>3</v>
      </c>
      <c r="BC88" t="s">
        <v>995</v>
      </c>
      <c r="BD88" s="16" t="s">
        <v>74</v>
      </c>
      <c r="BE88" t="s">
        <v>75</v>
      </c>
      <c r="BF88" s="49" t="e">
        <v>#N/A</v>
      </c>
      <c r="BG88" s="50" t="s">
        <v>75</v>
      </c>
      <c r="BH88" s="50" t="s">
        <v>75</v>
      </c>
      <c r="BI88" s="50" t="s">
        <v>75</v>
      </c>
    </row>
    <row r="89" spans="1:61" ht="15" x14ac:dyDescent="0.25">
      <c r="A89" s="86">
        <v>46039</v>
      </c>
      <c r="B89" t="s">
        <v>971</v>
      </c>
      <c r="C89" t="s">
        <v>972</v>
      </c>
      <c r="D89" t="s">
        <v>972</v>
      </c>
      <c r="E89" t="s">
        <v>998</v>
      </c>
      <c r="F89" t="s">
        <v>62</v>
      </c>
      <c r="G89" s="39"/>
      <c r="H89" s="10" t="s">
        <v>571</v>
      </c>
      <c r="I89" t="s">
        <v>999</v>
      </c>
      <c r="J89">
        <v>22</v>
      </c>
      <c r="K89" s="4">
        <v>46153</v>
      </c>
      <c r="L89" s="40">
        <v>0</v>
      </c>
      <c r="M89" s="40">
        <v>22</v>
      </c>
      <c r="N89" s="5">
        <v>1.1759999999999999</v>
      </c>
      <c r="O89">
        <v>25.87</v>
      </c>
      <c r="P89" t="s">
        <v>14</v>
      </c>
      <c r="Q89" s="6"/>
      <c r="R89" s="41">
        <v>1.7000000000000001E-2</v>
      </c>
      <c r="S89" s="42">
        <v>0.374</v>
      </c>
      <c r="T89" s="42">
        <v>450</v>
      </c>
      <c r="U89" s="43">
        <v>6.1111111111111114E-3</v>
      </c>
      <c r="V89" s="44">
        <v>46182</v>
      </c>
      <c r="W89" s="45">
        <v>46197</v>
      </c>
      <c r="X89" s="46" t="s">
        <v>280</v>
      </c>
      <c r="Y89" s="44">
        <v>46161</v>
      </c>
      <c r="Z89" s="44">
        <v>46164</v>
      </c>
      <c r="AA89" s="46" t="s">
        <v>66</v>
      </c>
      <c r="AB89" s="47">
        <v>-33</v>
      </c>
      <c r="AC89" s="1">
        <v>46136</v>
      </c>
      <c r="AD89" s="1">
        <v>46136</v>
      </c>
      <c r="AE89" s="3">
        <v>-28</v>
      </c>
      <c r="AF89" s="3" t="s">
        <v>69</v>
      </c>
      <c r="AG89" s="3" t="s">
        <v>69</v>
      </c>
      <c r="AH89" s="3">
        <v>65.5</v>
      </c>
      <c r="AI89" s="3">
        <v>17.857142857142858</v>
      </c>
      <c r="AJ89"/>
      <c r="AK89" s="3" t="s">
        <v>69</v>
      </c>
      <c r="AL89" t="s">
        <v>70</v>
      </c>
      <c r="AM89" t="s">
        <v>71</v>
      </c>
      <c r="AN89" t="s">
        <v>72</v>
      </c>
      <c r="AO89" t="s">
        <v>62</v>
      </c>
      <c r="AP89" s="10" t="s">
        <v>1000</v>
      </c>
      <c r="AQ89" s="1">
        <v>46067</v>
      </c>
      <c r="AR89" s="48" t="e">
        <v>#N/A</v>
      </c>
      <c r="AS89">
        <v>4957</v>
      </c>
      <c r="AT89">
        <v>100</v>
      </c>
      <c r="AU89" t="s">
        <v>1001</v>
      </c>
      <c r="AV89">
        <v>2.7</v>
      </c>
      <c r="AW89">
        <v>2.66</v>
      </c>
      <c r="AX89">
        <v>500</v>
      </c>
      <c r="AY89">
        <v>30</v>
      </c>
      <c r="AZ89">
        <v>23</v>
      </c>
      <c r="BA89">
        <v>15</v>
      </c>
      <c r="BB89">
        <v>2</v>
      </c>
      <c r="BC89" s="3" t="s">
        <v>998</v>
      </c>
      <c r="BD89" t="s">
        <v>1002</v>
      </c>
      <c r="BE89" t="s">
        <v>75</v>
      </c>
      <c r="BF89" s="49" t="e">
        <v>#N/A</v>
      </c>
      <c r="BG89" s="50" t="s">
        <v>75</v>
      </c>
      <c r="BH89" s="50" t="s">
        <v>75</v>
      </c>
      <c r="BI89" s="50" t="s">
        <v>75</v>
      </c>
    </row>
    <row r="90" spans="1:61" ht="15" x14ac:dyDescent="0.25">
      <c r="A90" s="1">
        <v>46076</v>
      </c>
      <c r="B90" t="s">
        <v>1003</v>
      </c>
      <c r="C90" s="10" t="s">
        <v>1004</v>
      </c>
      <c r="D90" s="10" t="s">
        <v>1005</v>
      </c>
      <c r="E90" t="s">
        <v>1006</v>
      </c>
      <c r="F90" t="s">
        <v>62</v>
      </c>
      <c r="G90" s="39"/>
      <c r="H90" s="10" t="s">
        <v>571</v>
      </c>
      <c r="I90" t="s">
        <v>1007</v>
      </c>
      <c r="J90" s="54">
        <v>150</v>
      </c>
      <c r="K90" s="4">
        <v>46153</v>
      </c>
      <c r="L90" s="40">
        <v>0</v>
      </c>
      <c r="M90" s="40">
        <v>150</v>
      </c>
      <c r="N90" s="5">
        <v>1.4039999999999999</v>
      </c>
      <c r="O90">
        <v>210.6</v>
      </c>
      <c r="P90" t="s">
        <v>14</v>
      </c>
      <c r="Q90" s="6"/>
      <c r="R90" s="41">
        <v>4.7299999999999998E-3</v>
      </c>
      <c r="S90" s="42">
        <v>0.70950000000000002</v>
      </c>
      <c r="T90" s="42">
        <v>450</v>
      </c>
      <c r="U90" s="43">
        <v>4.1666666666666664E-2</v>
      </c>
      <c r="V90" s="44">
        <v>46196</v>
      </c>
      <c r="W90" s="45">
        <v>46211</v>
      </c>
      <c r="X90" s="46" t="s">
        <v>484</v>
      </c>
      <c r="Y90" s="44">
        <v>46161</v>
      </c>
      <c r="Z90" s="44">
        <v>46164</v>
      </c>
      <c r="AA90" s="46" t="s">
        <v>66</v>
      </c>
      <c r="AB90" s="47">
        <v>-47</v>
      </c>
      <c r="AC90" s="87">
        <v>46150</v>
      </c>
      <c r="AD90" s="58">
        <v>46150</v>
      </c>
      <c r="AE90" s="3">
        <v>-14</v>
      </c>
      <c r="AF90" s="3" t="s">
        <v>69</v>
      </c>
      <c r="AG90" s="3" t="s">
        <v>69</v>
      </c>
      <c r="AH90" s="3">
        <v>28.5</v>
      </c>
      <c r="AI90" s="3">
        <v>12.571428571428571</v>
      </c>
      <c r="AJ90"/>
      <c r="AK90" s="58" t="s">
        <v>68</v>
      </c>
      <c r="AL90" s="58" t="s">
        <v>70</v>
      </c>
      <c r="AM90" t="s">
        <v>71</v>
      </c>
      <c r="AN90" s="58" t="s">
        <v>72</v>
      </c>
      <c r="AO90" s="58" t="s">
        <v>62</v>
      </c>
      <c r="AP90" s="10" t="s">
        <v>455</v>
      </c>
      <c r="AQ90" s="88">
        <v>46104</v>
      </c>
      <c r="AR90" s="88" t="e">
        <v>#N/A</v>
      </c>
      <c r="AS90" s="10">
        <v>5379</v>
      </c>
      <c r="AT90">
        <v>100</v>
      </c>
      <c r="AU90" t="s">
        <v>1008</v>
      </c>
      <c r="AV90">
        <v>3.85</v>
      </c>
      <c r="AW90">
        <v>9.27</v>
      </c>
      <c r="AX90">
        <v>2000</v>
      </c>
      <c r="AY90">
        <v>36</v>
      </c>
      <c r="AZ90">
        <v>34</v>
      </c>
      <c r="BA90">
        <v>24.5</v>
      </c>
      <c r="BB90">
        <v>1</v>
      </c>
      <c r="BC90" s="58" t="s">
        <v>1006</v>
      </c>
      <c r="BD90" s="58" t="s">
        <v>913</v>
      </c>
      <c r="BE90" t="s">
        <v>75</v>
      </c>
      <c r="BF90" s="49" t="e">
        <v>#N/A</v>
      </c>
      <c r="BG90" s="50" t="s">
        <v>75</v>
      </c>
      <c r="BH90" s="50" t="s">
        <v>75</v>
      </c>
      <c r="BI90" s="50" t="s">
        <v>75</v>
      </c>
    </row>
    <row r="91" spans="1:61" ht="15" x14ac:dyDescent="0.25">
      <c r="A91" s="1">
        <v>46129</v>
      </c>
      <c r="B91" t="s">
        <v>947</v>
      </c>
      <c r="C91" s="10" t="s">
        <v>948</v>
      </c>
      <c r="D91" s="10" t="s">
        <v>949</v>
      </c>
      <c r="E91" t="s">
        <v>950</v>
      </c>
      <c r="F91" t="s">
        <v>423</v>
      </c>
      <c r="G91" s="39"/>
      <c r="H91" s="10" t="s">
        <v>571</v>
      </c>
      <c r="I91" t="s">
        <v>951</v>
      </c>
      <c r="J91" s="54">
        <v>100</v>
      </c>
      <c r="K91" s="4">
        <v>46153</v>
      </c>
      <c r="L91" s="40">
        <v>0</v>
      </c>
      <c r="M91">
        <v>100</v>
      </c>
      <c r="N91" s="5">
        <v>0.61399999999999999</v>
      </c>
      <c r="O91">
        <v>61.4</v>
      </c>
      <c r="P91" t="s">
        <v>65</v>
      </c>
      <c r="Q91" s="6"/>
      <c r="R91" s="41">
        <v>6.7099999999999998E-3</v>
      </c>
      <c r="S91" s="42">
        <v>0.67099999999999993</v>
      </c>
      <c r="T91" s="42">
        <v>450</v>
      </c>
      <c r="U91" s="43">
        <v>2.7777777777777776E-2</v>
      </c>
      <c r="V91" s="44">
        <v>0</v>
      </c>
      <c r="W91" s="45">
        <v>15</v>
      </c>
      <c r="X91" s="46" t="s">
        <v>484</v>
      </c>
      <c r="Y91" s="44">
        <v>46161</v>
      </c>
      <c r="Z91" s="44">
        <v>46164</v>
      </c>
      <c r="AA91" s="46" t="s">
        <v>66</v>
      </c>
      <c r="AB91" s="47">
        <v>46149</v>
      </c>
      <c r="AC91" s="1">
        <v>46218</v>
      </c>
      <c r="AD91" s="1">
        <v>46218</v>
      </c>
      <c r="AE91" s="3">
        <v>54</v>
      </c>
      <c r="AF91" s="3" t="s">
        <v>68</v>
      </c>
      <c r="AG91" s="3" t="s">
        <v>68</v>
      </c>
      <c r="AH91" s="3">
        <v>-24.5</v>
      </c>
      <c r="AI91" s="3">
        <v>5</v>
      </c>
      <c r="AJ91"/>
      <c r="AK91" t="s">
        <v>68</v>
      </c>
      <c r="AL91" t="s">
        <v>70</v>
      </c>
      <c r="AM91"/>
      <c r="AN91" s="58" t="s">
        <v>72</v>
      </c>
      <c r="AO91"/>
      <c r="AP91" s="10"/>
      <c r="AQ91" s="1">
        <v>46157</v>
      </c>
      <c r="AR91" s="48" t="e">
        <v>#N/A</v>
      </c>
      <c r="AS91">
        <v>6416</v>
      </c>
      <c r="AT91">
        <v>500</v>
      </c>
      <c r="AU91" t="s">
        <v>952</v>
      </c>
      <c r="AV91">
        <v>1.0900000000000001</v>
      </c>
      <c r="AW91">
        <v>3.3</v>
      </c>
      <c r="AX91">
        <v>1000</v>
      </c>
      <c r="AY91">
        <v>38</v>
      </c>
      <c r="AZ91">
        <v>29.5</v>
      </c>
      <c r="BA91">
        <v>19.5</v>
      </c>
      <c r="BB91">
        <v>1</v>
      </c>
      <c r="BC91" s="16" t="s">
        <v>950</v>
      </c>
      <c r="BD91" s="16" t="s">
        <v>74</v>
      </c>
      <c r="BE91" t="s">
        <v>75</v>
      </c>
      <c r="BF91" s="49" t="e">
        <v>#N/A</v>
      </c>
      <c r="BG91" s="50" t="s">
        <v>75</v>
      </c>
      <c r="BH91" s="50" t="s">
        <v>75</v>
      </c>
      <c r="BI91" s="50" t="s">
        <v>75</v>
      </c>
    </row>
    <row r="92" spans="1:61" ht="15" x14ac:dyDescent="0.25">
      <c r="A92" s="1">
        <v>46050</v>
      </c>
      <c r="B92" t="s">
        <v>953</v>
      </c>
      <c r="C92" s="10" t="s">
        <v>573</v>
      </c>
      <c r="D92" s="10">
        <v>132289</v>
      </c>
      <c r="E92" t="s">
        <v>954</v>
      </c>
      <c r="F92" t="s">
        <v>62</v>
      </c>
      <c r="G92" s="39"/>
      <c r="H92" s="10" t="s">
        <v>551</v>
      </c>
      <c r="I92" t="s">
        <v>574</v>
      </c>
      <c r="J92" s="54">
        <v>3500</v>
      </c>
      <c r="K92" s="4" t="s">
        <v>64</v>
      </c>
      <c r="L92">
        <v>0</v>
      </c>
      <c r="M92">
        <v>3500</v>
      </c>
      <c r="N92" s="5">
        <v>1.486</v>
      </c>
      <c r="O92">
        <v>5201</v>
      </c>
      <c r="P92" t="s">
        <v>14</v>
      </c>
      <c r="Q92" s="6"/>
      <c r="R92" s="41">
        <v>6.8399999999999997E-3</v>
      </c>
      <c r="S92" s="42">
        <v>23.939999999999998</v>
      </c>
      <c r="T92" s="42">
        <v>1000</v>
      </c>
      <c r="U92" s="43">
        <v>0.4375</v>
      </c>
      <c r="V92" s="44">
        <v>46091</v>
      </c>
      <c r="W92" s="45">
        <v>46106</v>
      </c>
      <c r="X92" s="46" t="s">
        <v>66</v>
      </c>
      <c r="Y92" s="44">
        <v>46133</v>
      </c>
      <c r="Z92" s="85">
        <v>46164</v>
      </c>
      <c r="AA92" s="46" t="s">
        <v>66</v>
      </c>
      <c r="AB92" s="47">
        <v>58</v>
      </c>
      <c r="AC92" s="1">
        <v>46129</v>
      </c>
      <c r="AD92" s="1">
        <v>46129</v>
      </c>
      <c r="AE92" s="3">
        <v>-35</v>
      </c>
      <c r="AF92" t="s">
        <v>68</v>
      </c>
      <c r="AG92" s="3" t="s">
        <v>69</v>
      </c>
      <c r="AH92" s="3">
        <v>54.5</v>
      </c>
      <c r="AI92" s="3">
        <v>16.285714285714285</v>
      </c>
      <c r="AJ92">
        <v>2.8571428571428572</v>
      </c>
      <c r="AK92" t="s">
        <v>69</v>
      </c>
      <c r="AL92" t="s">
        <v>80</v>
      </c>
      <c r="AM92"/>
      <c r="AN92" t="s">
        <v>72</v>
      </c>
      <c r="AO92" t="s">
        <v>62</v>
      </c>
      <c r="AP92" s="10" t="s">
        <v>955</v>
      </c>
      <c r="AQ92" s="10">
        <v>46029</v>
      </c>
      <c r="AR92" s="15" t="e">
        <v>#N/A</v>
      </c>
      <c r="AS92">
        <v>5069</v>
      </c>
      <c r="AT92">
        <v>100</v>
      </c>
      <c r="AU92" t="s">
        <v>956</v>
      </c>
      <c r="AV92">
        <v>3.05</v>
      </c>
      <c r="AW92">
        <v>5.69</v>
      </c>
      <c r="AX92">
        <v>1000</v>
      </c>
      <c r="AY92">
        <v>38</v>
      </c>
      <c r="AZ92">
        <v>29.5</v>
      </c>
      <c r="BA92">
        <v>19.5</v>
      </c>
      <c r="BB92">
        <v>6</v>
      </c>
      <c r="BC92" t="s">
        <v>957</v>
      </c>
      <c r="BD92" s="16" t="s">
        <v>74</v>
      </c>
      <c r="BE92" t="s">
        <v>75</v>
      </c>
      <c r="BF92" s="49" t="e">
        <v>#N/A</v>
      </c>
      <c r="BG92" s="50" t="s">
        <v>75</v>
      </c>
      <c r="BH92" s="50" t="s">
        <v>75</v>
      </c>
      <c r="BI92" s="50" t="s">
        <v>75</v>
      </c>
    </row>
    <row r="93" spans="1:61" ht="15" x14ac:dyDescent="0.25">
      <c r="A93" s="1">
        <v>46063</v>
      </c>
      <c r="B93" t="s">
        <v>345</v>
      </c>
      <c r="C93" t="s">
        <v>346</v>
      </c>
      <c r="D93" t="s">
        <v>347</v>
      </c>
      <c r="E93" t="s">
        <v>1019</v>
      </c>
      <c r="F93" t="s">
        <v>62</v>
      </c>
      <c r="G93" s="39"/>
      <c r="H93" s="10" t="s">
        <v>571</v>
      </c>
      <c r="I93" t="s">
        <v>1020</v>
      </c>
      <c r="J93" s="51">
        <v>25</v>
      </c>
      <c r="K93" s="4">
        <v>46153</v>
      </c>
      <c r="L93" s="40">
        <v>0</v>
      </c>
      <c r="M93">
        <v>25</v>
      </c>
      <c r="N93" s="5">
        <v>1.4209999999999998</v>
      </c>
      <c r="O93">
        <v>35.53</v>
      </c>
      <c r="P93" t="s">
        <v>14</v>
      </c>
      <c r="Q93" s="6"/>
      <c r="R93" s="41">
        <v>1.346E-2</v>
      </c>
      <c r="S93" s="42">
        <v>0.33650000000000002</v>
      </c>
      <c r="T93" s="42">
        <v>360</v>
      </c>
      <c r="U93" s="43">
        <v>8.6805555555555559E-3</v>
      </c>
      <c r="V93" s="44" t="s">
        <v>463</v>
      </c>
      <c r="W93" s="45" t="s">
        <v>463</v>
      </c>
      <c r="X93" s="46" t="s">
        <v>280</v>
      </c>
      <c r="Y93" s="44">
        <v>46126</v>
      </c>
      <c r="Z93" s="44">
        <v>46164</v>
      </c>
      <c r="AA93" s="46" t="s">
        <v>66</v>
      </c>
      <c r="AB93" s="47" t="s">
        <v>464</v>
      </c>
      <c r="AC93" s="1">
        <v>46129</v>
      </c>
      <c r="AD93" s="1">
        <v>46129</v>
      </c>
      <c r="AE93" s="3">
        <v>-35</v>
      </c>
      <c r="AF93" t="s">
        <v>69</v>
      </c>
      <c r="AG93" s="3" t="s">
        <v>69</v>
      </c>
      <c r="AH93" s="3">
        <v>41.5</v>
      </c>
      <c r="AI93" s="3">
        <v>14.428571428571429</v>
      </c>
      <c r="AJ93"/>
      <c r="AK93" t="s">
        <v>69</v>
      </c>
      <c r="AL93" t="s">
        <v>70</v>
      </c>
      <c r="AM93" t="s">
        <v>71</v>
      </c>
      <c r="AN93" t="s">
        <v>72</v>
      </c>
      <c r="AO93" t="s">
        <v>62</v>
      </c>
      <c r="AP93" s="10" t="s">
        <v>455</v>
      </c>
      <c r="AQ93" s="1">
        <v>46091</v>
      </c>
      <c r="AR93" s="48" t="e">
        <v>#N/A</v>
      </c>
      <c r="AS93">
        <v>5201</v>
      </c>
      <c r="AT93">
        <v>100</v>
      </c>
      <c r="AU93" t="s">
        <v>1021</v>
      </c>
      <c r="AV93">
        <v>6</v>
      </c>
      <c r="AW93">
        <v>6.83</v>
      </c>
      <c r="AX93">
        <v>800</v>
      </c>
      <c r="AY93">
        <v>38</v>
      </c>
      <c r="AZ93">
        <v>29.5</v>
      </c>
      <c r="BA93">
        <v>19.5</v>
      </c>
      <c r="BB93">
        <v>5</v>
      </c>
      <c r="BC93" s="3" t="s">
        <v>1019</v>
      </c>
      <c r="BD93" t="s">
        <v>1022</v>
      </c>
      <c r="BE93" t="s">
        <v>75</v>
      </c>
      <c r="BF93" s="49" t="e">
        <v>#N/A</v>
      </c>
      <c r="BG93" s="50" t="s">
        <v>75</v>
      </c>
      <c r="BH93" s="50" t="s">
        <v>75</v>
      </c>
      <c r="BI93" s="50" t="s">
        <v>75</v>
      </c>
    </row>
    <row r="94" spans="1:61" ht="15" x14ac:dyDescent="0.25">
      <c r="A94" s="1">
        <v>46141</v>
      </c>
      <c r="B94" t="s">
        <v>122</v>
      </c>
      <c r="C94" s="10" t="s">
        <v>123</v>
      </c>
      <c r="D94" s="10">
        <v>112431</v>
      </c>
      <c r="E94" t="s">
        <v>1023</v>
      </c>
      <c r="F94" t="s">
        <v>423</v>
      </c>
      <c r="G94" s="39"/>
      <c r="H94" s="10" t="s">
        <v>571</v>
      </c>
      <c r="I94" t="s">
        <v>1024</v>
      </c>
      <c r="J94" s="54">
        <v>100</v>
      </c>
      <c r="K94" s="4">
        <v>46153</v>
      </c>
      <c r="L94" s="40">
        <v>0</v>
      </c>
      <c r="M94">
        <v>100</v>
      </c>
      <c r="N94" s="5">
        <v>1.0239999999999998</v>
      </c>
      <c r="O94">
        <v>102.4</v>
      </c>
      <c r="P94" t="s">
        <v>65</v>
      </c>
      <c r="Q94"/>
      <c r="R94" s="41">
        <v>5.1399999999999996E-3</v>
      </c>
      <c r="S94" s="42">
        <v>0.51400000000000001</v>
      </c>
      <c r="T94" s="42">
        <v>500</v>
      </c>
      <c r="U94" s="43">
        <v>2.5000000000000001E-2</v>
      </c>
      <c r="V94" s="44">
        <v>46196</v>
      </c>
      <c r="W94" s="45">
        <v>46211</v>
      </c>
      <c r="X94" s="46" t="s">
        <v>484</v>
      </c>
      <c r="Y94" s="44">
        <v>46161</v>
      </c>
      <c r="Z94" s="44">
        <v>46164</v>
      </c>
      <c r="AA94" s="46" t="s">
        <v>66</v>
      </c>
      <c r="AB94" s="47">
        <v>-47</v>
      </c>
      <c r="AC94" s="1">
        <v>46234</v>
      </c>
      <c r="AD94" s="1">
        <v>46234</v>
      </c>
      <c r="AE94" s="3">
        <v>70</v>
      </c>
      <c r="AF94" t="s">
        <v>68</v>
      </c>
      <c r="AG94" s="3" t="s">
        <v>68</v>
      </c>
      <c r="AH94" s="3">
        <v>-36.5</v>
      </c>
      <c r="AI94" s="3">
        <v>3.2857142857142856</v>
      </c>
      <c r="AJ94"/>
      <c r="AK94" t="s">
        <v>68</v>
      </c>
      <c r="AL94" t="s">
        <v>70</v>
      </c>
      <c r="AM94"/>
      <c r="AN94" t="s">
        <v>72</v>
      </c>
      <c r="AO94"/>
      <c r="AP94" s="10"/>
      <c r="AQ94" s="1">
        <v>46169</v>
      </c>
      <c r="AR94" s="48" t="e">
        <v>#N/A</v>
      </c>
      <c r="AS94">
        <v>6583</v>
      </c>
      <c r="AT94">
        <v>300</v>
      </c>
      <c r="AU94" t="s">
        <v>1025</v>
      </c>
      <c r="AV94">
        <v>7.32</v>
      </c>
      <c r="AW94">
        <v>7.7</v>
      </c>
      <c r="AX94">
        <v>800</v>
      </c>
      <c r="AY94">
        <v>38</v>
      </c>
      <c r="AZ94">
        <v>29.5</v>
      </c>
      <c r="BA94">
        <v>19.5</v>
      </c>
      <c r="BB94">
        <v>1</v>
      </c>
      <c r="BC94" s="16" t="s">
        <v>1023</v>
      </c>
      <c r="BD94" s="16" t="s">
        <v>74</v>
      </c>
      <c r="BE94" t="s">
        <v>75</v>
      </c>
      <c r="BF94" s="49" t="e">
        <v>#N/A</v>
      </c>
      <c r="BG94" s="50" t="s">
        <v>75</v>
      </c>
      <c r="BH94" s="50" t="s">
        <v>75</v>
      </c>
      <c r="BI94" s="50" t="s">
        <v>75</v>
      </c>
    </row>
    <row r="95" spans="1:61" ht="15" x14ac:dyDescent="0.25">
      <c r="A95" s="1">
        <v>46141</v>
      </c>
      <c r="B95" t="s">
        <v>1029</v>
      </c>
      <c r="C95" s="10" t="s">
        <v>1030</v>
      </c>
      <c r="D95" s="10" t="s">
        <v>1030</v>
      </c>
      <c r="E95" t="s">
        <v>1031</v>
      </c>
      <c r="F95" t="s">
        <v>423</v>
      </c>
      <c r="G95" s="39"/>
      <c r="H95" s="10" t="s">
        <v>571</v>
      </c>
      <c r="I95" t="s">
        <v>1032</v>
      </c>
      <c r="J95" s="54">
        <v>250</v>
      </c>
      <c r="K95" s="4">
        <v>46153</v>
      </c>
      <c r="L95" s="40">
        <v>250</v>
      </c>
      <c r="M95">
        <v>0</v>
      </c>
      <c r="N95" s="5">
        <v>0.59599999999999997</v>
      </c>
      <c r="O95">
        <v>149</v>
      </c>
      <c r="P95" t="s">
        <v>65</v>
      </c>
      <c r="Q95"/>
      <c r="R95" s="41">
        <v>1.6109999999999999E-2</v>
      </c>
      <c r="S95" s="42">
        <v>4.0274999999999999</v>
      </c>
      <c r="T95" s="42">
        <v>360</v>
      </c>
      <c r="U95" s="43">
        <v>0</v>
      </c>
      <c r="V95" s="44">
        <v>0</v>
      </c>
      <c r="W95" s="45">
        <v>15</v>
      </c>
      <c r="X95" s="46" t="s">
        <v>484</v>
      </c>
      <c r="Y95" s="44">
        <v>46161</v>
      </c>
      <c r="Z95" s="44">
        <v>46164</v>
      </c>
      <c r="AA95" s="46" t="s">
        <v>66</v>
      </c>
      <c r="AB95" s="47">
        <v>46149</v>
      </c>
      <c r="AC95" s="1">
        <v>46227</v>
      </c>
      <c r="AD95" s="1">
        <v>46227</v>
      </c>
      <c r="AE95" s="3">
        <v>63</v>
      </c>
      <c r="AF95" t="s">
        <v>68</v>
      </c>
      <c r="AG95" s="3" t="s">
        <v>68</v>
      </c>
      <c r="AH95" s="3">
        <v>-36.5</v>
      </c>
      <c r="AI95" s="3">
        <v>3.2857142857142856</v>
      </c>
      <c r="AJ95"/>
      <c r="AK95" t="s">
        <v>68</v>
      </c>
      <c r="AL95" t="s">
        <v>70</v>
      </c>
      <c r="AM95"/>
      <c r="AN95" t="s">
        <v>72</v>
      </c>
      <c r="AO95"/>
      <c r="AP95" s="10"/>
      <c r="AQ95" s="1">
        <v>46169</v>
      </c>
      <c r="AR95" s="48" t="e">
        <v>#N/A</v>
      </c>
      <c r="AS95">
        <v>6569</v>
      </c>
      <c r="AT95">
        <v>100</v>
      </c>
      <c r="AU95" t="s">
        <v>1033</v>
      </c>
      <c r="AV95">
        <v>0.22</v>
      </c>
      <c r="AW95">
        <v>2.8</v>
      </c>
      <c r="AX95">
        <v>1000</v>
      </c>
      <c r="AY95">
        <v>38</v>
      </c>
      <c r="AZ95">
        <v>29.5</v>
      </c>
      <c r="BA95">
        <v>19.5</v>
      </c>
      <c r="BB95">
        <v>1</v>
      </c>
      <c r="BC95" s="16" t="s">
        <v>1031</v>
      </c>
      <c r="BD95" s="16" t="s">
        <v>74</v>
      </c>
      <c r="BE95" t="s">
        <v>75</v>
      </c>
      <c r="BF95" s="49" t="e">
        <v>#N/A</v>
      </c>
      <c r="BG95" s="50" t="s">
        <v>75</v>
      </c>
      <c r="BH95" s="50" t="s">
        <v>75</v>
      </c>
      <c r="BI95" s="50" t="s">
        <v>75</v>
      </c>
    </row>
    <row r="96" spans="1:61" x14ac:dyDescent="0.2">
      <c r="I96" s="68" t="s">
        <v>598</v>
      </c>
      <c r="J96" s="68">
        <v>2000</v>
      </c>
    </row>
  </sheetData>
  <autoFilter ref="A2:BI96" xr:uid="{EB3AB6BC-792F-4447-84F9-CDDE5D1F1C77}"/>
  <conditionalFormatting sqref="B33:B41">
    <cfRule type="duplicateValues" dxfId="305" priority="226"/>
    <cfRule type="duplicateValues" dxfId="304" priority="227"/>
  </conditionalFormatting>
  <conditionalFormatting sqref="B92">
    <cfRule type="duplicateValues" dxfId="303" priority="25"/>
    <cfRule type="duplicateValues" dxfId="302" priority="26"/>
  </conditionalFormatting>
  <conditionalFormatting sqref="E2">
    <cfRule type="duplicateValues" dxfId="301" priority="820"/>
    <cfRule type="duplicateValues" dxfId="300" priority="822"/>
    <cfRule type="duplicateValues" dxfId="299" priority="824"/>
    <cfRule type="duplicateValues" dxfId="298" priority="825"/>
    <cfRule type="duplicateValues" dxfId="297" priority="826"/>
    <cfRule type="duplicateValues" dxfId="296" priority="827"/>
    <cfRule type="duplicateValues" dxfId="295" priority="828"/>
    <cfRule type="duplicateValues" dxfId="294" priority="829"/>
    <cfRule type="duplicateValues" dxfId="293" priority="839"/>
    <cfRule type="duplicateValues" dxfId="292" priority="841"/>
    <cfRule type="duplicateValues" dxfId="291" priority="842"/>
    <cfRule type="duplicateValues" dxfId="290" priority="843"/>
    <cfRule type="duplicateValues" dxfId="289" priority="844"/>
    <cfRule type="duplicateValues" dxfId="288" priority="845"/>
    <cfRule type="duplicateValues" dxfId="287" priority="846"/>
    <cfRule type="duplicateValues" dxfId="286" priority="847"/>
    <cfRule type="duplicateValues" dxfId="285" priority="848"/>
    <cfRule type="duplicateValues" dxfId="284" priority="849"/>
    <cfRule type="duplicateValues" dxfId="283" priority="850"/>
    <cfRule type="duplicateValues" dxfId="282" priority="851"/>
    <cfRule type="duplicateValues" dxfId="281" priority="852"/>
  </conditionalFormatting>
  <conditionalFormatting sqref="E3:E91">
    <cfRule type="duplicateValues" dxfId="280" priority="258"/>
  </conditionalFormatting>
  <conditionalFormatting sqref="E3:E95">
    <cfRule type="duplicateValues" dxfId="279" priority="257"/>
  </conditionalFormatting>
  <conditionalFormatting sqref="E29:E31">
    <cfRule type="duplicateValues" dxfId="278" priority="239"/>
    <cfRule type="duplicateValues" dxfId="277" priority="240"/>
    <cfRule type="duplicateValues" dxfId="276" priority="241"/>
    <cfRule type="duplicateValues" dxfId="275" priority="242"/>
    <cfRule type="duplicateValues" dxfId="274" priority="243"/>
    <cfRule type="duplicateValues" dxfId="273" priority="244"/>
    <cfRule type="duplicateValues" dxfId="272" priority="245"/>
    <cfRule type="duplicateValues" dxfId="271" priority="246"/>
    <cfRule type="duplicateValues" dxfId="270" priority="247"/>
    <cfRule type="duplicateValues" dxfId="269" priority="248"/>
  </conditionalFormatting>
  <conditionalFormatting sqref="E32">
    <cfRule type="duplicateValues" dxfId="268" priority="229"/>
    <cfRule type="duplicateValues" dxfId="267" priority="230"/>
    <cfRule type="duplicateValues" dxfId="266" priority="231"/>
    <cfRule type="duplicateValues" dxfId="265" priority="232"/>
    <cfRule type="duplicateValues" dxfId="264" priority="233"/>
    <cfRule type="duplicateValues" dxfId="263" priority="234"/>
    <cfRule type="duplicateValues" dxfId="262" priority="235"/>
    <cfRule type="duplicateValues" dxfId="261" priority="236"/>
    <cfRule type="duplicateValues" dxfId="260" priority="237"/>
    <cfRule type="duplicateValues" dxfId="259" priority="238"/>
  </conditionalFormatting>
  <conditionalFormatting sqref="E33:E41">
    <cfRule type="duplicateValues" dxfId="258" priority="228"/>
  </conditionalFormatting>
  <conditionalFormatting sqref="E48:E52">
    <cfRule type="duplicateValues" dxfId="257" priority="215"/>
    <cfRule type="duplicateValues" dxfId="256" priority="216"/>
    <cfRule type="duplicateValues" dxfId="255" priority="217"/>
    <cfRule type="duplicateValues" dxfId="254" priority="218"/>
    <cfRule type="duplicateValues" dxfId="253" priority="219"/>
    <cfRule type="duplicateValues" dxfId="252" priority="220"/>
    <cfRule type="duplicateValues" dxfId="251" priority="221"/>
    <cfRule type="duplicateValues" dxfId="250" priority="222"/>
    <cfRule type="duplicateValues" dxfId="249" priority="223"/>
    <cfRule type="duplicateValues" dxfId="248" priority="224"/>
  </conditionalFormatting>
  <conditionalFormatting sqref="E53:E66">
    <cfRule type="duplicateValues" dxfId="247" priority="204"/>
    <cfRule type="duplicateValues" dxfId="246" priority="205"/>
    <cfRule type="duplicateValues" dxfId="245" priority="206"/>
    <cfRule type="duplicateValues" dxfId="244" priority="207"/>
    <cfRule type="duplicateValues" dxfId="243" priority="208"/>
    <cfRule type="duplicateValues" dxfId="242" priority="209"/>
    <cfRule type="duplicateValues" dxfId="241" priority="210"/>
    <cfRule type="duplicateValues" dxfId="240" priority="211"/>
    <cfRule type="duplicateValues" dxfId="239" priority="212"/>
    <cfRule type="duplicateValues" dxfId="238" priority="213"/>
  </conditionalFormatting>
  <conditionalFormatting sqref="E67:E75">
    <cfRule type="duplicateValues" dxfId="237" priority="194"/>
    <cfRule type="duplicateValues" dxfId="236" priority="195"/>
    <cfRule type="duplicateValues" dxfId="235" priority="196"/>
    <cfRule type="duplicateValues" dxfId="234" priority="197"/>
    <cfRule type="duplicateValues" dxfId="233" priority="198"/>
    <cfRule type="duplicateValues" dxfId="232" priority="199"/>
    <cfRule type="duplicateValues" dxfId="231" priority="200"/>
    <cfRule type="duplicateValues" dxfId="230" priority="201"/>
    <cfRule type="duplicateValues" dxfId="229" priority="202"/>
    <cfRule type="duplicateValues" dxfId="228" priority="203"/>
  </conditionalFormatting>
  <conditionalFormatting sqref="E76">
    <cfRule type="duplicateValues" dxfId="227" priority="181"/>
    <cfRule type="duplicateValues" dxfId="226" priority="182"/>
    <cfRule type="duplicateValues" dxfId="225" priority="183"/>
    <cfRule type="duplicateValues" dxfId="224" priority="184"/>
    <cfRule type="duplicateValues" dxfId="223" priority="185"/>
    <cfRule type="duplicateValues" dxfId="222" priority="186"/>
    <cfRule type="duplicateValues" dxfId="221" priority="187"/>
    <cfRule type="duplicateValues" dxfId="220" priority="188"/>
    <cfRule type="duplicateValues" dxfId="219" priority="189"/>
    <cfRule type="duplicateValues" dxfId="218" priority="190"/>
    <cfRule type="duplicateValues" dxfId="217" priority="191"/>
  </conditionalFormatting>
  <conditionalFormatting sqref="E77">
    <cfRule type="duplicateValues" dxfId="216" priority="169"/>
    <cfRule type="duplicateValues" dxfId="215" priority="170"/>
    <cfRule type="duplicateValues" dxfId="214" priority="171"/>
    <cfRule type="duplicateValues" dxfId="213" priority="172"/>
    <cfRule type="duplicateValues" dxfId="212" priority="173"/>
    <cfRule type="duplicateValues" dxfId="211" priority="174"/>
    <cfRule type="duplicateValues" dxfId="210" priority="175"/>
    <cfRule type="duplicateValues" dxfId="209" priority="176"/>
    <cfRule type="duplicateValues" dxfId="208" priority="177"/>
    <cfRule type="duplicateValues" dxfId="207" priority="178"/>
    <cfRule type="duplicateValues" dxfId="206" priority="179"/>
  </conditionalFormatting>
  <conditionalFormatting sqref="E78:E79">
    <cfRule type="duplicateValues" dxfId="205" priority="159"/>
    <cfRule type="duplicateValues" dxfId="204" priority="160"/>
    <cfRule type="duplicateValues" dxfId="203" priority="161"/>
    <cfRule type="duplicateValues" dxfId="202" priority="162"/>
    <cfRule type="duplicateValues" dxfId="201" priority="163"/>
    <cfRule type="duplicateValues" dxfId="200" priority="164"/>
    <cfRule type="duplicateValues" dxfId="199" priority="165"/>
    <cfRule type="duplicateValues" dxfId="198" priority="166"/>
    <cfRule type="duplicateValues" dxfId="197" priority="167"/>
    <cfRule type="duplicateValues" dxfId="196" priority="168"/>
  </conditionalFormatting>
  <conditionalFormatting sqref="E81">
    <cfRule type="duplicateValues" dxfId="195" priority="145"/>
    <cfRule type="duplicateValues" dxfId="194" priority="146"/>
    <cfRule type="duplicateValues" dxfId="193" priority="147"/>
    <cfRule type="duplicateValues" dxfId="192" priority="148"/>
    <cfRule type="duplicateValues" dxfId="191" priority="149"/>
    <cfRule type="duplicateValues" dxfId="190" priority="150"/>
    <cfRule type="duplicateValues" dxfId="189" priority="151"/>
    <cfRule type="duplicateValues" dxfId="188" priority="152"/>
    <cfRule type="duplicateValues" dxfId="187" priority="153"/>
    <cfRule type="duplicateValues" dxfId="186" priority="154"/>
  </conditionalFormatting>
  <conditionalFormatting sqref="E82">
    <cfRule type="duplicateValues" dxfId="185" priority="131"/>
    <cfRule type="duplicateValues" dxfId="184" priority="132"/>
    <cfRule type="duplicateValues" dxfId="183" priority="133"/>
    <cfRule type="duplicateValues" dxfId="182" priority="134"/>
    <cfRule type="duplicateValues" dxfId="181" priority="136"/>
    <cfRule type="duplicateValues" dxfId="180" priority="137"/>
    <cfRule type="duplicateValues" dxfId="179" priority="138"/>
    <cfRule type="duplicateValues" dxfId="178" priority="139"/>
    <cfRule type="duplicateValues" dxfId="177" priority="140"/>
    <cfRule type="duplicateValues" dxfId="176" priority="141"/>
    <cfRule type="duplicateValues" dxfId="175" priority="142"/>
    <cfRule type="duplicateValues" dxfId="174" priority="143"/>
    <cfRule type="duplicateValues" dxfId="173" priority="144"/>
  </conditionalFormatting>
  <conditionalFormatting sqref="E83">
    <cfRule type="duplicateValues" dxfId="172" priority="118"/>
    <cfRule type="duplicateValues" dxfId="171" priority="119"/>
    <cfRule type="duplicateValues" dxfId="170" priority="120"/>
    <cfRule type="duplicateValues" dxfId="169" priority="121"/>
    <cfRule type="duplicateValues" dxfId="168" priority="122"/>
    <cfRule type="duplicateValues" dxfId="167" priority="123"/>
    <cfRule type="duplicateValues" dxfId="166" priority="124"/>
    <cfRule type="duplicateValues" dxfId="165" priority="125"/>
    <cfRule type="duplicateValues" dxfId="164" priority="126"/>
    <cfRule type="duplicateValues" dxfId="163" priority="127"/>
    <cfRule type="duplicateValues" dxfId="162" priority="128"/>
    <cfRule type="duplicateValues" dxfId="161" priority="129"/>
  </conditionalFormatting>
  <conditionalFormatting sqref="E84">
    <cfRule type="duplicateValues" dxfId="160" priority="108"/>
    <cfRule type="duplicateValues" dxfId="159" priority="109"/>
    <cfRule type="duplicateValues" dxfId="158" priority="110"/>
    <cfRule type="duplicateValues" dxfId="157" priority="111"/>
    <cfRule type="duplicateValues" dxfId="156" priority="112"/>
    <cfRule type="duplicateValues" dxfId="155" priority="113"/>
    <cfRule type="duplicateValues" dxfId="154" priority="114"/>
    <cfRule type="duplicateValues" dxfId="153" priority="115"/>
    <cfRule type="duplicateValues" dxfId="152" priority="116"/>
    <cfRule type="duplicateValues" dxfId="151" priority="117"/>
  </conditionalFormatting>
  <conditionalFormatting sqref="E87">
    <cfRule type="duplicateValues" dxfId="150" priority="84"/>
    <cfRule type="duplicateValues" dxfId="149" priority="87"/>
    <cfRule type="duplicateValues" dxfId="148" priority="88"/>
    <cfRule type="duplicateValues" dxfId="147" priority="89"/>
    <cfRule type="duplicateValues" dxfId="146" priority="90"/>
    <cfRule type="duplicateValues" dxfId="145" priority="91"/>
    <cfRule type="duplicateValues" dxfId="144" priority="92"/>
    <cfRule type="duplicateValues" dxfId="143" priority="93"/>
    <cfRule type="duplicateValues" dxfId="142" priority="94"/>
    <cfRule type="duplicateValues" dxfId="141" priority="95"/>
    <cfRule type="duplicateValues" dxfId="140" priority="96"/>
    <cfRule type="duplicateValues" dxfId="139" priority="97"/>
    <cfRule type="duplicateValues" dxfId="138" priority="98"/>
    <cfRule type="duplicateValues" dxfId="137" priority="99"/>
    <cfRule type="duplicateValues" dxfId="136" priority="100"/>
    <cfRule type="duplicateValues" dxfId="135" priority="101"/>
    <cfRule type="duplicateValues" dxfId="134" priority="102"/>
    <cfRule type="duplicateValues" dxfId="133" priority="103"/>
    <cfRule type="duplicateValues" dxfId="132" priority="104"/>
    <cfRule type="duplicateValues" dxfId="131" priority="105"/>
  </conditionalFormatting>
  <conditionalFormatting sqref="E88">
    <cfRule type="duplicateValues" dxfId="130" priority="63"/>
    <cfRule type="duplicateValues" dxfId="129" priority="64"/>
    <cfRule type="duplicateValues" dxfId="128" priority="65"/>
    <cfRule type="duplicateValues" dxfId="127" priority="66"/>
    <cfRule type="duplicateValues" dxfId="126" priority="67"/>
    <cfRule type="duplicateValues" dxfId="125" priority="68"/>
    <cfRule type="duplicateValues" dxfId="124" priority="69"/>
    <cfRule type="duplicateValues" dxfId="123" priority="70"/>
    <cfRule type="duplicateValues" dxfId="122" priority="71"/>
    <cfRule type="duplicateValues" dxfId="121" priority="72"/>
    <cfRule type="duplicateValues" dxfId="120" priority="73"/>
    <cfRule type="duplicateValues" dxfId="119" priority="74"/>
    <cfRule type="duplicateValues" dxfId="118" priority="75"/>
    <cfRule type="duplicateValues" dxfId="117" priority="76"/>
    <cfRule type="duplicateValues" dxfId="116" priority="77"/>
    <cfRule type="duplicateValues" dxfId="115" priority="78"/>
    <cfRule type="duplicateValues" dxfId="114" priority="79"/>
    <cfRule type="duplicateValues" dxfId="113" priority="80"/>
    <cfRule type="duplicateValues" dxfId="112" priority="81"/>
    <cfRule type="duplicateValues" dxfId="111" priority="82"/>
    <cfRule type="duplicateValues" dxfId="110" priority="83"/>
  </conditionalFormatting>
  <conditionalFormatting sqref="E89">
    <cfRule type="duplicateValues" dxfId="109" priority="41"/>
    <cfRule type="duplicateValues" dxfId="108" priority="44"/>
    <cfRule type="duplicateValues" dxfId="107" priority="45"/>
    <cfRule type="duplicateValues" dxfId="106" priority="46"/>
    <cfRule type="duplicateValues" dxfId="105" priority="47"/>
    <cfRule type="duplicateValues" dxfId="104" priority="48"/>
    <cfRule type="duplicateValues" dxfId="103" priority="49"/>
    <cfRule type="duplicateValues" dxfId="102" priority="50"/>
    <cfRule type="duplicateValues" dxfId="101" priority="51"/>
    <cfRule type="duplicateValues" dxfId="100" priority="52"/>
    <cfRule type="duplicateValues" dxfId="99" priority="53"/>
    <cfRule type="duplicateValues" dxfId="98" priority="54"/>
    <cfRule type="duplicateValues" dxfId="97" priority="55"/>
    <cfRule type="duplicateValues" dxfId="96" priority="56"/>
    <cfRule type="duplicateValues" dxfId="95" priority="57"/>
    <cfRule type="duplicateValues" dxfId="94" priority="58"/>
    <cfRule type="duplicateValues" dxfId="93" priority="59"/>
    <cfRule type="duplicateValues" dxfId="92" priority="60"/>
    <cfRule type="duplicateValues" dxfId="91" priority="61"/>
    <cfRule type="duplicateValues" dxfId="90" priority="62"/>
  </conditionalFormatting>
  <conditionalFormatting sqref="E90:E91 E3:E86">
    <cfRule type="duplicateValues" dxfId="89" priority="259"/>
    <cfRule type="duplicateValues" dxfId="88" priority="260"/>
    <cfRule type="duplicateValues" dxfId="87" priority="262"/>
    <cfRule type="duplicateValues" dxfId="86" priority="263"/>
    <cfRule type="duplicateValues" dxfId="85" priority="264"/>
  </conditionalFormatting>
  <conditionalFormatting sqref="E90:E91 E85:E86 E3:E80">
    <cfRule type="duplicateValues" dxfId="84" priority="268"/>
  </conditionalFormatting>
  <conditionalFormatting sqref="E90:E91 E85:E86 E3:E81">
    <cfRule type="duplicateValues" dxfId="83" priority="267"/>
  </conditionalFormatting>
  <conditionalFormatting sqref="E90:E91 E85:E86 E3:E82">
    <cfRule type="duplicateValues" dxfId="82" priority="265"/>
    <cfRule type="duplicateValues" dxfId="81" priority="266"/>
  </conditionalFormatting>
  <conditionalFormatting sqref="E90:E91 E85:E86 E80 E3:E66">
    <cfRule type="duplicateValues" dxfId="80" priority="270"/>
  </conditionalFormatting>
  <conditionalFormatting sqref="E90:E91 E85:E86 E80 E3:E77">
    <cfRule type="duplicateValues" dxfId="79" priority="269"/>
  </conditionalFormatting>
  <conditionalFormatting sqref="E90:E91 E85:E86 E80 E42:E47 E3:E28">
    <cfRule type="duplicateValues" dxfId="78" priority="272"/>
  </conditionalFormatting>
  <conditionalFormatting sqref="E90:E91 E85:E86 E80 E42:E47 E3:F3 E4:E28">
    <cfRule type="duplicateValues" dxfId="77" priority="273"/>
    <cfRule type="duplicateValues" dxfId="76" priority="274"/>
    <cfRule type="duplicateValues" dxfId="75" priority="275"/>
    <cfRule type="duplicateValues" dxfId="74" priority="276"/>
    <cfRule type="duplicateValues" dxfId="73" priority="277"/>
    <cfRule type="duplicateValues" dxfId="72" priority="278"/>
    <cfRule type="duplicateValues" dxfId="71" priority="279"/>
    <cfRule type="duplicateValues" dxfId="70" priority="280"/>
  </conditionalFormatting>
  <conditionalFormatting sqref="E90:E91 E85:E86 E80">
    <cfRule type="duplicateValues" dxfId="69" priority="156"/>
  </conditionalFormatting>
  <conditionalFormatting sqref="E92">
    <cfRule type="duplicateValues" dxfId="68" priority="27"/>
    <cfRule type="duplicateValues" dxfId="67" priority="28"/>
    <cfRule type="duplicateValues" dxfId="66" priority="29"/>
    <cfRule type="duplicateValues" dxfId="65" priority="30"/>
    <cfRule type="duplicateValues" dxfId="64" priority="31"/>
    <cfRule type="duplicateValues" dxfId="63" priority="32"/>
    <cfRule type="duplicateValues" dxfId="62" priority="33"/>
    <cfRule type="duplicateValues" dxfId="61" priority="34"/>
    <cfRule type="duplicateValues" dxfId="60" priority="35"/>
    <cfRule type="duplicateValues" dxfId="59" priority="36"/>
    <cfRule type="duplicateValues" dxfId="58" priority="37"/>
    <cfRule type="duplicateValues" dxfId="57" priority="38"/>
    <cfRule type="duplicateValues" dxfId="56" priority="39"/>
  </conditionalFormatting>
  <conditionalFormatting sqref="E93:E95">
    <cfRule type="duplicateValues" dxfId="55" priority="2"/>
    <cfRule type="duplicateValues" dxfId="54" priority="3"/>
    <cfRule type="duplicateValues" dxfId="53" priority="5"/>
    <cfRule type="duplicateValues" dxfId="52" priority="6"/>
    <cfRule type="duplicateValues" dxfId="51" priority="7"/>
    <cfRule type="duplicateValues" dxfId="50" priority="8"/>
    <cfRule type="duplicateValues" dxfId="49" priority="9"/>
    <cfRule type="duplicateValues" dxfId="48" priority="10"/>
    <cfRule type="duplicateValues" dxfId="47" priority="11"/>
    <cfRule type="duplicateValues" dxfId="46" priority="12"/>
    <cfRule type="duplicateValues" dxfId="45" priority="13"/>
    <cfRule type="duplicateValues" dxfId="44" priority="15"/>
    <cfRule type="duplicateValues" dxfId="43" priority="16"/>
    <cfRule type="duplicateValues" dxfId="42" priority="17"/>
    <cfRule type="duplicateValues" dxfId="41" priority="18"/>
    <cfRule type="duplicateValues" dxfId="40" priority="19"/>
    <cfRule type="duplicateValues" dxfId="39" priority="20"/>
    <cfRule type="duplicateValues" dxfId="38" priority="21"/>
    <cfRule type="duplicateValues" dxfId="37" priority="22"/>
    <cfRule type="duplicateValues" dxfId="36" priority="23"/>
    <cfRule type="duplicateValues" dxfId="35" priority="24"/>
  </conditionalFormatting>
  <conditionalFormatting sqref="I1:I1048576">
    <cfRule type="duplicateValues" dxfId="34" priority="1"/>
  </conditionalFormatting>
  <conditionalFormatting sqref="I2">
    <cfRule type="duplicateValues" dxfId="33" priority="823"/>
    <cfRule type="duplicateValues" dxfId="32" priority="840"/>
  </conditionalFormatting>
  <conditionalFormatting sqref="I48:I52">
    <cfRule type="duplicateValues" dxfId="31" priority="225"/>
  </conditionalFormatting>
  <conditionalFormatting sqref="I53:I66">
    <cfRule type="duplicateValues" dxfId="30" priority="214"/>
  </conditionalFormatting>
  <conditionalFormatting sqref="I67:I75">
    <cfRule type="duplicateValues" dxfId="29" priority="193"/>
  </conditionalFormatting>
  <conditionalFormatting sqref="I76">
    <cfRule type="duplicateValues" dxfId="28" priority="192"/>
  </conditionalFormatting>
  <conditionalFormatting sqref="I77">
    <cfRule type="duplicateValues" dxfId="27" priority="180"/>
  </conditionalFormatting>
  <conditionalFormatting sqref="I78:I79">
    <cfRule type="duplicateValues" dxfId="26" priority="158"/>
  </conditionalFormatting>
  <conditionalFormatting sqref="I81">
    <cfRule type="duplicateValues" dxfId="25" priority="155"/>
  </conditionalFormatting>
  <conditionalFormatting sqref="I82">
    <cfRule type="duplicateValues" dxfId="24" priority="135"/>
  </conditionalFormatting>
  <conditionalFormatting sqref="I83">
    <cfRule type="duplicateValues" dxfId="23" priority="130"/>
  </conditionalFormatting>
  <conditionalFormatting sqref="I84">
    <cfRule type="duplicateValues" dxfId="22" priority="107"/>
  </conditionalFormatting>
  <conditionalFormatting sqref="I86">
    <cfRule type="duplicateValues" dxfId="21" priority="106"/>
  </conditionalFormatting>
  <conditionalFormatting sqref="I87">
    <cfRule type="duplicateValues" dxfId="20" priority="85"/>
    <cfRule type="duplicateValues" dxfId="19" priority="86"/>
  </conditionalFormatting>
  <conditionalFormatting sqref="I88 I85:I86 I83 I80">
    <cfRule type="duplicateValues" dxfId="18" priority="157"/>
  </conditionalFormatting>
  <conditionalFormatting sqref="I89">
    <cfRule type="duplicateValues" dxfId="17" priority="42"/>
    <cfRule type="duplicateValues" dxfId="16" priority="43"/>
  </conditionalFormatting>
  <conditionalFormatting sqref="I90:I91 I85 I80 I42:I47 I3:I32">
    <cfRule type="duplicateValues" dxfId="15" priority="271"/>
  </conditionalFormatting>
  <conditionalFormatting sqref="I90:I92 I88 I3:I86">
    <cfRule type="duplicateValues" dxfId="14" priority="261"/>
  </conditionalFormatting>
  <conditionalFormatting sqref="I92 I90">
    <cfRule type="duplicateValues" dxfId="13" priority="40"/>
  </conditionalFormatting>
  <conditionalFormatting sqref="I93:I95">
    <cfRule type="duplicateValues" dxfId="12" priority="4"/>
    <cfRule type="duplicateValues" dxfId="11" priority="14"/>
  </conditionalFormatting>
  <conditionalFormatting sqref="AO3">
    <cfRule type="duplicateValues" dxfId="10" priority="249"/>
    <cfRule type="duplicateValues" dxfId="9" priority="250"/>
    <cfRule type="duplicateValues" dxfId="8" priority="251"/>
    <cfRule type="duplicateValues" dxfId="7" priority="252"/>
    <cfRule type="duplicateValues" dxfId="6" priority="253"/>
    <cfRule type="duplicateValues" dxfId="5" priority="254"/>
    <cfRule type="duplicateValues" dxfId="4" priority="255"/>
    <cfRule type="duplicateValues" dxfId="3" priority="256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51FF-2455-4D2B-B137-AB41272AC0D6}">
  <dimension ref="A1:C13"/>
  <sheetViews>
    <sheetView workbookViewId="0">
      <selection activeCell="F16" sqref="F16"/>
    </sheetView>
  </sheetViews>
  <sheetFormatPr defaultRowHeight="15" x14ac:dyDescent="0.25"/>
  <sheetData>
    <row r="1" spans="1:3" ht="30" x14ac:dyDescent="0.25">
      <c r="A1" s="19" t="s">
        <v>570</v>
      </c>
      <c r="B1" s="19" t="s">
        <v>7</v>
      </c>
      <c r="C1" s="19" t="s">
        <v>8</v>
      </c>
    </row>
    <row r="2" spans="1:3" x14ac:dyDescent="0.25">
      <c r="A2" s="10" t="s">
        <v>571</v>
      </c>
      <c r="B2" s="51" t="s">
        <v>556</v>
      </c>
      <c r="C2">
        <v>2500</v>
      </c>
    </row>
    <row r="3" spans="1:3" x14ac:dyDescent="0.25">
      <c r="A3" s="10" t="s">
        <v>571</v>
      </c>
      <c r="B3" s="51" t="s">
        <v>557</v>
      </c>
      <c r="C3">
        <v>2000</v>
      </c>
    </row>
    <row r="4" spans="1:3" x14ac:dyDescent="0.25">
      <c r="A4" s="10" t="s">
        <v>571</v>
      </c>
      <c r="B4" s="51" t="s">
        <v>558</v>
      </c>
      <c r="C4">
        <v>2000</v>
      </c>
    </row>
    <row r="5" spans="1:3" x14ac:dyDescent="0.25">
      <c r="A5" s="10" t="s">
        <v>571</v>
      </c>
      <c r="B5" s="51" t="s">
        <v>559</v>
      </c>
      <c r="C5">
        <v>2000</v>
      </c>
    </row>
    <row r="6" spans="1:3" x14ac:dyDescent="0.25">
      <c r="A6" s="10" t="s">
        <v>571</v>
      </c>
      <c r="B6" s="51" t="s">
        <v>560</v>
      </c>
      <c r="C6">
        <v>2000</v>
      </c>
    </row>
    <row r="7" spans="1:3" x14ac:dyDescent="0.25">
      <c r="A7" s="10" t="s">
        <v>571</v>
      </c>
      <c r="B7" s="51" t="s">
        <v>561</v>
      </c>
      <c r="C7">
        <v>2000</v>
      </c>
    </row>
    <row r="8" spans="1:3" x14ac:dyDescent="0.25">
      <c r="A8" s="10" t="s">
        <v>571</v>
      </c>
      <c r="B8" s="51" t="s">
        <v>564</v>
      </c>
      <c r="C8">
        <v>3000</v>
      </c>
    </row>
    <row r="9" spans="1:3" x14ac:dyDescent="0.25">
      <c r="A9" s="10" t="s">
        <v>551</v>
      </c>
      <c r="B9" s="51" t="s">
        <v>565</v>
      </c>
      <c r="C9" s="54">
        <v>2000</v>
      </c>
    </row>
    <row r="10" spans="1:3" x14ac:dyDescent="0.25">
      <c r="A10" s="10" t="s">
        <v>571</v>
      </c>
      <c r="B10" s="51" t="s">
        <v>566</v>
      </c>
      <c r="C10">
        <v>2000</v>
      </c>
    </row>
    <row r="11" spans="1:3" x14ac:dyDescent="0.25">
      <c r="A11" s="10" t="s">
        <v>571</v>
      </c>
      <c r="B11" s="51" t="s">
        <v>567</v>
      </c>
      <c r="C11">
        <v>3500</v>
      </c>
    </row>
    <row r="12" spans="1:3" x14ac:dyDescent="0.25">
      <c r="A12" s="10" t="s">
        <v>571</v>
      </c>
      <c r="B12" s="51" t="s">
        <v>568</v>
      </c>
      <c r="C12">
        <v>2100</v>
      </c>
    </row>
    <row r="13" spans="1:3" x14ac:dyDescent="0.25">
      <c r="A13" s="10" t="s">
        <v>571</v>
      </c>
      <c r="B13" s="51" t="s">
        <v>569</v>
      </c>
      <c r="C13">
        <v>2000</v>
      </c>
    </row>
  </sheetData>
  <conditionalFormatting sqref="B1:B10">
    <cfRule type="duplicateValues" dxfId="2" priority="3"/>
  </conditionalFormatting>
  <conditionalFormatting sqref="B1:B13">
    <cfRule type="duplicateValues" dxfId="1" priority="2"/>
  </conditionalFormatting>
  <conditionalFormatting sqref="B11:B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Shipping list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光良 张</dc:creator>
  <cp:lastModifiedBy>son nguyen hoang</cp:lastModifiedBy>
  <dcterms:created xsi:type="dcterms:W3CDTF">2026-05-07T06:19:17Z</dcterms:created>
  <dcterms:modified xsi:type="dcterms:W3CDTF">2026-05-25T16:14:18Z</dcterms:modified>
</cp:coreProperties>
</file>